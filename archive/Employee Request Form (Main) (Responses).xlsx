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sponses" sheetId="1" r:id="rId4"/>
    <sheet state="visible" name="Sheet5" sheetId="2" r:id="rId5"/>
    <sheet state="visible" name="Tasks" sheetId="3" r:id="rId6"/>
    <sheet state="visible" name="Workflows" sheetId="4" r:id="rId7"/>
    <sheet state="visible" name="Employee Directory" sheetId="5" r:id="rId8"/>
    <sheet state="visible" name="Onboarding Tracker" sheetId="6" r:id="rId9"/>
  </sheets>
  <definedNames>
    <definedName hidden="1" localSheetId="0" name="_xlnm._FilterDatabase">'All Responses'!$A$1:$ED$118</definedName>
  </definedNames>
  <calcPr/>
</workbook>
</file>

<file path=xl/sharedStrings.xml><?xml version="1.0" encoding="utf-8"?>
<sst xmlns="http://schemas.openxmlformats.org/spreadsheetml/2006/main" count="4836" uniqueCount="522">
  <si>
    <t>Submission Timestamp</t>
  </si>
  <si>
    <t>Email Address</t>
  </si>
  <si>
    <t>Workflow Status</t>
  </si>
  <si>
    <t>Post-Processing Status</t>
  </si>
  <si>
    <t>Have all Recruiting Requirements been met?</t>
  </si>
  <si>
    <t>Date Requested</t>
  </si>
  <si>
    <t>Requester Name</t>
  </si>
  <si>
    <t>Requester Email</t>
  </si>
  <si>
    <t>Hire Date</t>
  </si>
  <si>
    <t>New Hire or Rehire</t>
  </si>
  <si>
    <t>Employee Type</t>
  </si>
  <si>
    <t>Hourly or Salary</t>
  </si>
  <si>
    <t>Temporary ID</t>
  </si>
  <si>
    <t>First Name</t>
  </si>
  <si>
    <t>Middle Name</t>
  </si>
  <si>
    <t>Last Name</t>
  </si>
  <si>
    <t>Preferred Name</t>
  </si>
  <si>
    <t>Position / Job Title</t>
  </si>
  <si>
    <t>Site Name</t>
  </si>
  <si>
    <t>Job Site Number</t>
  </si>
  <si>
    <t>Reporting Manager Name</t>
  </si>
  <si>
    <t xml:space="preserve">Reporting Manager Email </t>
  </si>
  <si>
    <t>E-Business Card</t>
  </si>
  <si>
    <t>30-60-90</t>
  </si>
  <si>
    <t>ADP Manager Access</t>
  </si>
  <si>
    <t>Cost Sheet</t>
  </si>
  <si>
    <t>Leader Access</t>
  </si>
  <si>
    <t>Trip Reports Access</t>
  </si>
  <si>
    <t>JR</t>
  </si>
  <si>
    <t>JONAS Purchasing Software</t>
  </si>
  <si>
    <t>JONAS Field Time/Field Project Access</t>
  </si>
  <si>
    <t>JONAS EBI Access</t>
  </si>
  <si>
    <t>Incidents</t>
  </si>
  <si>
    <t>SiteDocs Training Login</t>
  </si>
  <si>
    <t>CAA</t>
  </si>
  <si>
    <t>Transform</t>
  </si>
  <si>
    <t>Net Promoter Score</t>
  </si>
  <si>
    <t>Fleetio / Vehicle</t>
  </si>
  <si>
    <t>Credit Card</t>
  </si>
  <si>
    <t>Google Account</t>
  </si>
  <si>
    <t>Delivery App</t>
  </si>
  <si>
    <t>Mobile Phone</t>
  </si>
  <si>
    <t>Computer</t>
  </si>
  <si>
    <t>SiteDocs Tablet</t>
  </si>
  <si>
    <t>Is the new User getting a previous user assigned computer?</t>
  </si>
  <si>
    <t>Reassigned Computer - Previous User's Name</t>
  </si>
  <si>
    <t>Is the new User getting a previous user assigned phone?</t>
  </si>
  <si>
    <t>Reassigned Phone - Previous User's Name</t>
  </si>
  <si>
    <t>Phone Number</t>
  </si>
  <si>
    <t>Cost Sheet - Job Site(s) to be assigned</t>
  </si>
  <si>
    <t>Delivery Module - Job Site(s) to be assigned</t>
  </si>
  <si>
    <t>JONAS Purchasing - Job Number(s) to be assigned</t>
  </si>
  <si>
    <t>JONAS Field Time/Field Project - Job Number(s) to be Assigned</t>
  </si>
  <si>
    <t>JONAS EBI  - Job Number(s) to be Assigned</t>
  </si>
  <si>
    <t>Vehicle Assigned</t>
  </si>
  <si>
    <t>Fleetio Access Required</t>
  </si>
  <si>
    <t>Additional Notes/Comments</t>
  </si>
  <si>
    <t>Signer Name</t>
  </si>
  <si>
    <t>Request Date</t>
  </si>
  <si>
    <t>BOSS User Account</t>
  </si>
  <si>
    <t>Additional System/Equipment Access Needed?</t>
  </si>
  <si>
    <t>Email Requested</t>
  </si>
  <si>
    <t>Date Required By</t>
  </si>
  <si>
    <t>SiteDocs</t>
  </si>
  <si>
    <t>ADP Supervisor Access</t>
  </si>
  <si>
    <t>Additional Credit/ Purchasing Accounts</t>
  </si>
  <si>
    <t>Request ID</t>
  </si>
  <si>
    <t>HR - Email Address Requested</t>
  </si>
  <si>
    <t>HR - SiteDocs Worker ID</t>
  </si>
  <si>
    <t>HR - DSS Username</t>
  </si>
  <si>
    <t>HR - DSS Password</t>
  </si>
  <si>
    <t>HR - Employee assigned to WIS module?</t>
  </si>
  <si>
    <t>HR - SiteDocs Training Username</t>
  </si>
  <si>
    <t>HR - SiteDocs Training Password</t>
  </si>
  <si>
    <t>HR - Date of Submission</t>
  </si>
  <si>
    <t>Final Status</t>
  </si>
  <si>
    <t>Approval Notes</t>
  </si>
  <si>
    <t>IT - BOSS User Account</t>
  </si>
  <si>
    <t>IT - Cost Sheet</t>
  </si>
  <si>
    <t>IT - Leader Access</t>
  </si>
  <si>
    <t>IT - Trip Reports Access</t>
  </si>
  <si>
    <t>IT - Incidents</t>
  </si>
  <si>
    <t>IT - CAA</t>
  </si>
  <si>
    <t>IT - Transform</t>
  </si>
  <si>
    <t>IT - Net Promoter Score</t>
  </si>
  <si>
    <t>IT - E-Business Card</t>
  </si>
  <si>
    <t>IT - Delivery App</t>
  </si>
  <si>
    <t>IT - Google Account Email</t>
  </si>
  <si>
    <t>IT - Google Account Password</t>
  </si>
  <si>
    <t>IT - Phone Number</t>
  </si>
  <si>
    <t>IT - Phone Voicemail Password</t>
  </si>
  <si>
    <t>IT - Computer Model</t>
  </si>
  <si>
    <t>IT - Computer Serial Number</t>
  </si>
  <si>
    <t>IT - Completion Timestamp</t>
  </si>
  <si>
    <t>Fleetio - Status</t>
  </si>
  <si>
    <t>Fleetio - Asset Number</t>
  </si>
  <si>
    <t>Fleetio - Vehicle Make</t>
  </si>
  <si>
    <t>Fleetio - Vehicle Model</t>
  </si>
  <si>
    <t>Fleetio - License Plate</t>
  </si>
  <si>
    <t>Fleetio - Timestamp</t>
  </si>
  <si>
    <t>Credit Card - Limit</t>
  </si>
  <si>
    <t>Credit Card - Currency</t>
  </si>
  <si>
    <t>Credit Card - Per</t>
  </si>
  <si>
    <t>Credit Card - Spend Dynamics Username</t>
  </si>
  <si>
    <t>Credit Card - Spend Dynamics Password</t>
  </si>
  <si>
    <t>Amazon - Username / Number</t>
  </si>
  <si>
    <t>Amazon - Password / PIN</t>
  </si>
  <si>
    <t>Staples - Username / Number</t>
  </si>
  <si>
    <t>Staples - Password / PIN</t>
  </si>
  <si>
    <t>HomeDepot - Card Number</t>
  </si>
  <si>
    <t>HomeDepot - PIN</t>
  </si>
  <si>
    <t>Credit Card - Status</t>
  </si>
  <si>
    <t>Credit Card - Timestamp</t>
  </si>
  <si>
    <t>Business Card - Status</t>
  </si>
  <si>
    <t>Business Card - Timestamp</t>
  </si>
  <si>
    <t>30-60-90 - Status</t>
  </si>
  <si>
    <t>30-60-90 - Timestamp</t>
  </si>
  <si>
    <t>ADP Manager Access - Status</t>
  </si>
  <si>
    <t>ADP Manager Access - Timestamp</t>
  </si>
  <si>
    <t>ADP Supervisor Access - Status</t>
  </si>
  <si>
    <t>ADP Supervisor Access - Timestamp</t>
  </si>
  <si>
    <t>SiteDocs Tablet - Status</t>
  </si>
  <si>
    <t>SiteDocs Tablet - Timestamp</t>
  </si>
  <si>
    <t>SiteDocs - Status</t>
  </si>
  <si>
    <t>SiteDocs - Timestamp</t>
  </si>
  <si>
    <t>JR - Status</t>
  </si>
  <si>
    <t>JR - Timestamp</t>
  </si>
  <si>
    <t>JONAS - Status</t>
  </si>
  <si>
    <t>JONAS - Timestamp</t>
  </si>
  <si>
    <t>Final Approver Name</t>
  </si>
  <si>
    <t>Final Approval Comments</t>
  </si>
  <si>
    <t>Final Denial Reason</t>
  </si>
  <si>
    <t>Final Approval Timestamp</t>
  </si>
  <si>
    <t>z</t>
  </si>
  <si>
    <t>z, z, z</t>
  </si>
  <si>
    <t>Vishal.srikanth@team-group.com</t>
  </si>
  <si>
    <t>Yes</t>
  </si>
  <si>
    <t>Vish</t>
  </si>
  <si>
    <t>New Hire</t>
  </si>
  <si>
    <t>Direct Hire</t>
  </si>
  <si>
    <t>Hourly</t>
  </si>
  <si>
    <t>x</t>
  </si>
  <si>
    <t>y</t>
  </si>
  <si>
    <t>V</t>
  </si>
  <si>
    <t>ss</t>
  </si>
  <si>
    <t>sss</t>
  </si>
  <si>
    <t>vs</t>
  </si>
  <si>
    <t>Required</t>
  </si>
  <si>
    <t>vs, vs, vs, vs, vs</t>
  </si>
  <si>
    <t>vs, vs, vs, sv, vs, vs</t>
  </si>
  <si>
    <t>Salary</t>
  </si>
  <si>
    <t>John</t>
  </si>
  <si>
    <t>JD</t>
  </si>
  <si>
    <t>Doe</t>
  </si>
  <si>
    <t>VP</t>
  </si>
  <si>
    <t>Form Cambridge</t>
  </si>
  <si>
    <t>VS</t>
  </si>
  <si>
    <t>None</t>
  </si>
  <si>
    <t>none</t>
  </si>
  <si>
    <t>usnm</t>
  </si>
  <si>
    <t>123, 123, 12</t>
  </si>
  <si>
    <t>123, 123, 123</t>
  </si>
  <si>
    <t>123, 123</t>
  </si>
  <si>
    <t>No</t>
  </si>
  <si>
    <t>Not Required</t>
  </si>
  <si>
    <t>123, 123, 123, 123</t>
  </si>
  <si>
    <t>123, 123, 123, 123, 123</t>
  </si>
  <si>
    <t>REQ-1753710025359</t>
  </si>
  <si>
    <t>REQ-1753710374600</t>
  </si>
  <si>
    <t>REQ-1753710733135</t>
  </si>
  <si>
    <t>REQ-1753711057797</t>
  </si>
  <si>
    <t>test@gmail.com</t>
  </si>
  <si>
    <t>test</t>
  </si>
  <si>
    <t>REQ-1753712267593</t>
  </si>
  <si>
    <t>REQ-1753712881052</t>
  </si>
  <si>
    <t>REQ-1753712890623</t>
  </si>
  <si>
    <t>REQ-1753712892388</t>
  </si>
  <si>
    <t>REQ-1753713540080</t>
  </si>
  <si>
    <t>REQ-1753713541006</t>
  </si>
  <si>
    <t>REQ-1753713613796</t>
  </si>
  <si>
    <t>Approved</t>
  </si>
  <si>
    <t>REQ-1753714423582</t>
  </si>
  <si>
    <t>REQ-1753714741932</t>
  </si>
  <si>
    <t>Jane Doe</t>
  </si>
  <si>
    <t>REQ-1753716743848</t>
  </si>
  <si>
    <t>john.doe@company.com</t>
  </si>
  <si>
    <t>REQ-1753718542202</t>
  </si>
  <si>
    <t>REQ-1753719218294</t>
  </si>
  <si>
    <t>Denied</t>
  </si>
  <si>
    <t>REQ-1753720221560</t>
  </si>
  <si>
    <t>REQ-1753726357468</t>
  </si>
  <si>
    <t>REQ-1753726497095</t>
  </si>
  <si>
    <t>REQ-1753726960455</t>
  </si>
  <si>
    <t>REQ-1753727139982</t>
  </si>
  <si>
    <t>REQ-1753729756939</t>
  </si>
  <si>
    <t>Complete</t>
  </si>
  <si>
    <t>email</t>
  </si>
  <si>
    <t>pswrd</t>
  </si>
  <si>
    <t>Chrome</t>
  </si>
  <si>
    <t>REQ-1753730666707</t>
  </si>
  <si>
    <t>REQ-1753730963528</t>
  </si>
  <si>
    <t>REQ-1753731968142</t>
  </si>
  <si>
    <t>Completed</t>
  </si>
  <si>
    <t>First Last</t>
  </si>
  <si>
    <t>REQ-1753733411452</t>
  </si>
  <si>
    <t>Daniel Binns</t>
  </si>
  <si>
    <t>dbinns@robinsonsolutions.com</t>
  </si>
  <si>
    <t>James</t>
  </si>
  <si>
    <t>Cleaner</t>
  </si>
  <si>
    <t>Bluebird</t>
  </si>
  <si>
    <t>UC122</t>
  </si>
  <si>
    <t>Binns</t>
  </si>
  <si>
    <t>REQ-1753797394629</t>
  </si>
  <si>
    <t>ddddd</t>
  </si>
  <si>
    <t>dddddddd</t>
  </si>
  <si>
    <t>DANIEL</t>
  </si>
  <si>
    <t>BINNS</t>
  </si>
  <si>
    <t>daniel.binns@company.com</t>
  </si>
  <si>
    <t>REQ-1753798014866</t>
  </si>
  <si>
    <t>john.doe@team-group.com</t>
  </si>
  <si>
    <t>REQ-1753804784414</t>
  </si>
  <si>
    <t>REQ-1753806417438</t>
  </si>
  <si>
    <t>REQ-1753807726057</t>
  </si>
  <si>
    <t>abc123</t>
  </si>
  <si>
    <t>REQ-1753808626079</t>
  </si>
  <si>
    <t>REQ-1753809015718</t>
  </si>
  <si>
    <t>Sent Back to Requester</t>
  </si>
  <si>
    <t>REQ-1753809589591</t>
  </si>
  <si>
    <t>Pending</t>
  </si>
  <si>
    <t>Pending HR Setup</t>
  </si>
  <si>
    <t>Edmonton</t>
  </si>
  <si>
    <t>TEST4</t>
  </si>
  <si>
    <t>Bluebird, BMW, Edmonton</t>
  </si>
  <si>
    <t>TEST1, TEST2</t>
  </si>
  <si>
    <t>TEST2, TEST3</t>
  </si>
  <si>
    <t>TEST2, TEST1</t>
  </si>
  <si>
    <t>REQ-1753812102690</t>
  </si>
  <si>
    <t>BMW</t>
  </si>
  <si>
    <t>TEST2</t>
  </si>
  <si>
    <t>REQ-1753812436274</t>
  </si>
  <si>
    <t>TEST1, TEST2, TEST3</t>
  </si>
  <si>
    <t>REQ-1753812843208</t>
  </si>
  <si>
    <t>TEST1</t>
  </si>
  <si>
    <t>REQ-1753813433425</t>
  </si>
  <si>
    <t>Pending IT Setup</t>
  </si>
  <si>
    <t>REQ-1753814199489</t>
  </si>
  <si>
    <t>JD250805BB</t>
  </si>
  <si>
    <t>Decostar</t>
  </si>
  <si>
    <t>TEST3</t>
  </si>
  <si>
    <t>REQ-1753815392768</t>
  </si>
  <si>
    <t>JD691231STAR</t>
  </si>
  <si>
    <t>Etobicote</t>
  </si>
  <si>
    <t>TEST5</t>
  </si>
  <si>
    <t>REQ-1753816058655</t>
  </si>
  <si>
    <t>JZ</t>
  </si>
  <si>
    <t>REQ-1753816586422</t>
  </si>
  <si>
    <t>JD250806ECP</t>
  </si>
  <si>
    <t>Bluebird, Decostar, Etobicote</t>
  </si>
  <si>
    <t>TEST1, TEST3, TEST5</t>
  </si>
  <si>
    <t>REQ-1753818551130</t>
  </si>
  <si>
    <t>JD250807STAR</t>
  </si>
  <si>
    <t>usrnm</t>
  </si>
  <si>
    <t>REQ-1753819668750</t>
  </si>
  <si>
    <t>REQ-1753820546753</t>
  </si>
  <si>
    <t>Notes</t>
  </si>
  <si>
    <t>Bluebird, Decostar, Edmonton</t>
  </si>
  <si>
    <t>REQ-1753822251923</t>
  </si>
  <si>
    <t>JD250806EDM</t>
  </si>
  <si>
    <t>Agency</t>
  </si>
  <si>
    <t>REQ-1753891707261</t>
  </si>
  <si>
    <t>JD20250807BB</t>
  </si>
  <si>
    <t>numbr</t>
  </si>
  <si>
    <t>make</t>
  </si>
  <si>
    <t>model</t>
  </si>
  <si>
    <t>ab12c3</t>
  </si>
  <si>
    <t>Good</t>
  </si>
  <si>
    <t>REQ-1753893370440</t>
  </si>
  <si>
    <t>REQ-1753894039801</t>
  </si>
  <si>
    <t>JD20250806EDM</t>
  </si>
  <si>
    <t>REQ-1753895117922</t>
  </si>
  <si>
    <t>JD20250808EDM</t>
  </si>
  <si>
    <t>notes</t>
  </si>
  <si>
    <t>REQ-1753903915218</t>
  </si>
  <si>
    <t>JD20250805BB</t>
  </si>
  <si>
    <t>nice</t>
  </si>
  <si>
    <t>Dan</t>
  </si>
  <si>
    <t>Bluebird, BMW</t>
  </si>
  <si>
    <t>daniel.binns@team-group.com</t>
  </si>
  <si>
    <t>REQ-1753981527725</t>
  </si>
  <si>
    <t>REQ-1754409331657</t>
  </si>
  <si>
    <t>REQ-1754410261724</t>
  </si>
  <si>
    <t>JD20250812BB</t>
  </si>
  <si>
    <t>i felt like it</t>
  </si>
  <si>
    <t>Denied at Final Review</t>
  </si>
  <si>
    <t>REQ-1754412471221</t>
  </si>
  <si>
    <t>JD20250812BMW</t>
  </si>
  <si>
    <t>Pending Final HR Approval</t>
  </si>
  <si>
    <t>REQ-1754415405650</t>
  </si>
  <si>
    <t>JD20250815BB</t>
  </si>
  <si>
    <t>REQ-1754418821693</t>
  </si>
  <si>
    <t>JD20250813BB</t>
  </si>
  <si>
    <t>REQ-1754420317324</t>
  </si>
  <si>
    <t>JD20250820STAR</t>
  </si>
  <si>
    <t>System - Auto-approved (Hourly)</t>
  </si>
  <si>
    <t>REQ-1754422595110</t>
  </si>
  <si>
    <t>JD20250814STAR</t>
  </si>
  <si>
    <t>Chrysler Windsor Paintshop</t>
  </si>
  <si>
    <t>TW049</t>
  </si>
  <si>
    <t>REQ-1754490210421</t>
  </si>
  <si>
    <t>JD20250904CWP</t>
  </si>
  <si>
    <t>Cost Variance - RSI</t>
  </si>
  <si>
    <t>REQ-1754492263330</t>
  </si>
  <si>
    <t>JD20250825CVR</t>
  </si>
  <si>
    <t>Finance</t>
  </si>
  <si>
    <t xml:space="preserve"> Corporate Groups</t>
  </si>
  <si>
    <t>Controls</t>
  </si>
  <si>
    <t>NONE</t>
  </si>
  <si>
    <t>REQ-1754493260126</t>
  </si>
  <si>
    <t>JD20250827F</t>
  </si>
  <si>
    <t>GM Oshawa Assembly</t>
  </si>
  <si>
    <t>REQ-1754496076458</t>
  </si>
  <si>
    <t>JD20250820GOA</t>
  </si>
  <si>
    <t>Decostar Industries</t>
  </si>
  <si>
    <t xml:space="preserve">Accounts Receivable </t>
  </si>
  <si>
    <t>REQ-1754582830696</t>
  </si>
  <si>
    <t>JD20250808DI</t>
  </si>
  <si>
    <t>BMW Spartanburg Assembly</t>
  </si>
  <si>
    <t>Canadian Operations, China Operations</t>
  </si>
  <si>
    <t>REQ-1754587492781</t>
  </si>
  <si>
    <t>JD20250812BSA</t>
  </si>
  <si>
    <t>this is correct</t>
  </si>
  <si>
    <t>JS</t>
  </si>
  <si>
    <t>Smith</t>
  </si>
  <si>
    <t>Burns MacDonald</t>
  </si>
  <si>
    <t>TC014</t>
  </si>
  <si>
    <t>Atlantic Automotive Benton Harbour</t>
  </si>
  <si>
    <t>TC002</t>
  </si>
  <si>
    <t>TC015</t>
  </si>
  <si>
    <t>john.smith@team-group.com</t>
  </si>
  <si>
    <t>REQ-1754663028369</t>
  </si>
  <si>
    <t>Caterpillar Wuxi</t>
  </si>
  <si>
    <t>TC600</t>
  </si>
  <si>
    <t xml:space="preserve">Adelie Foods </t>
  </si>
  <si>
    <t>Atlantic Packaging</t>
  </si>
  <si>
    <t>TC009</t>
  </si>
  <si>
    <t>TC005</t>
  </si>
  <si>
    <t>REQ-1754664501091</t>
  </si>
  <si>
    <t>REQ-1754666225792</t>
  </si>
  <si>
    <t>REQ-1754666726275</t>
  </si>
  <si>
    <t>International Springfield</t>
  </si>
  <si>
    <t>TW169</t>
  </si>
  <si>
    <t>REQ-1754667089964</t>
  </si>
  <si>
    <t>REQ-1754667253798</t>
  </si>
  <si>
    <t>REQ-1754667551704</t>
  </si>
  <si>
    <t>JD20250827BM</t>
  </si>
  <si>
    <t>ArcelorMittal</t>
  </si>
  <si>
    <t>TC001</t>
  </si>
  <si>
    <t>Amazon, Staples, HomeDepot (physical card)</t>
  </si>
  <si>
    <t>REQ-1754669859300</t>
  </si>
  <si>
    <t>JD20250808A</t>
  </si>
  <si>
    <t>Chrysler Brampton Paintshop</t>
  </si>
  <si>
    <t>TF176</t>
  </si>
  <si>
    <t>HomeDepot (physical card), Amazon</t>
  </si>
  <si>
    <t>REQ-1754669900527</t>
  </si>
  <si>
    <t>JS20250829CBP</t>
  </si>
  <si>
    <t>Chrysler Brampton GSO</t>
  </si>
  <si>
    <t>TC800</t>
  </si>
  <si>
    <t>Staples, HomeDepot (physical card), Amazon</t>
  </si>
  <si>
    <t>REQ-1754671332597</t>
  </si>
  <si>
    <t>JD20250828CBG</t>
  </si>
  <si>
    <t>CAD</t>
  </si>
  <si>
    <t>Day</t>
  </si>
  <si>
    <t>Toyota Burnaston</t>
  </si>
  <si>
    <t>UP168</t>
  </si>
  <si>
    <t>REQ-1754673008873</t>
  </si>
  <si>
    <t>XX20250827TB</t>
  </si>
  <si>
    <t>Week</t>
  </si>
  <si>
    <t>GM Oshawa PPS</t>
  </si>
  <si>
    <t>TW010</t>
  </si>
  <si>
    <t>Staples, Amazon</t>
  </si>
  <si>
    <t>REQ-1754941971487</t>
  </si>
  <si>
    <t>JD20250819GOP</t>
  </si>
  <si>
    <t>Angie</t>
  </si>
  <si>
    <t>O</t>
  </si>
  <si>
    <t>O'Plasty</t>
  </si>
  <si>
    <t>angie.o'plasty@team-group.com</t>
  </si>
  <si>
    <t>REQ-1754944362129</t>
  </si>
  <si>
    <t>REQ-1754944516482</t>
  </si>
  <si>
    <t>AO19691231A</t>
  </si>
  <si>
    <t>Director</t>
  </si>
  <si>
    <t>Chrysler Brampton</t>
  </si>
  <si>
    <t>TC700</t>
  </si>
  <si>
    <t>john.o'plasty@team-group.com</t>
  </si>
  <si>
    <t>REQ-1754945645655</t>
  </si>
  <si>
    <t>JO20250828CB</t>
  </si>
  <si>
    <t>Barbara</t>
  </si>
  <si>
    <t>Arian</t>
  </si>
  <si>
    <t>Barb</t>
  </si>
  <si>
    <t>AVP</t>
  </si>
  <si>
    <t>Casco Janitorial</t>
  </si>
  <si>
    <t>TC400</t>
  </si>
  <si>
    <t>barbara.arian@company.com</t>
  </si>
  <si>
    <t>REQ-1755006697734</t>
  </si>
  <si>
    <t>Athon</t>
  </si>
  <si>
    <t>Inoac Fremont</t>
  </si>
  <si>
    <t>TW154</t>
  </si>
  <si>
    <t>john.athon@team-group.com</t>
  </si>
  <si>
    <t>REQ-1755009143460</t>
  </si>
  <si>
    <t>Honda Lock</t>
  </si>
  <si>
    <t>TW146</t>
  </si>
  <si>
    <t>REQ-1755009851211</t>
  </si>
  <si>
    <t xml:space="preserve">May </t>
  </si>
  <si>
    <t>B</t>
  </si>
  <si>
    <t>Tomorrow</t>
  </si>
  <si>
    <t>BBI Enterprises</t>
  </si>
  <si>
    <t>REQ-1755010867639</t>
  </si>
  <si>
    <t>MT20250815BE</t>
  </si>
  <si>
    <t>PC Gaming</t>
  </si>
  <si>
    <t>UC216</t>
  </si>
  <si>
    <t>REQ-1755012091939</t>
  </si>
  <si>
    <t>AO20250819PG</t>
  </si>
  <si>
    <t>Mopar Montreal</t>
  </si>
  <si>
    <t>UC193</t>
  </si>
  <si>
    <t>Mopar Montreal Snow Removal</t>
  </si>
  <si>
    <t>barb.arian@team-group.com</t>
  </si>
  <si>
    <t>REQ-1755014276915</t>
  </si>
  <si>
    <t>BA20250828MM</t>
  </si>
  <si>
    <t xml:space="preserve">Ventra Group </t>
  </si>
  <si>
    <t>UP506</t>
  </si>
  <si>
    <t>Amazon</t>
  </si>
  <si>
    <t>REQ-1755015617301</t>
  </si>
  <si>
    <t>JA20250829VG</t>
  </si>
  <si>
    <t>Bunge Canada</t>
  </si>
  <si>
    <t>TC013</t>
  </si>
  <si>
    <t>REQ-1755017503760</t>
  </si>
  <si>
    <t>MT20250826BC</t>
  </si>
  <si>
    <t>Chantal Turgeon</t>
  </si>
  <si>
    <t>Johnny</t>
  </si>
  <si>
    <t>Industrial Cleaner</t>
  </si>
  <si>
    <t>Geely YuYao</t>
  </si>
  <si>
    <t>TR500</t>
  </si>
  <si>
    <t>Mike Buday</t>
  </si>
  <si>
    <t>Learning TMMC Woodstock Basic Team Member</t>
  </si>
  <si>
    <t>REQ-1756221859578</t>
  </si>
  <si>
    <t>JD20250827GY</t>
  </si>
  <si>
    <t>Toyota Woodstock</t>
  </si>
  <si>
    <t>john.doe@robinsonsolutions.com</t>
  </si>
  <si>
    <t>REQ-1756222096428</t>
  </si>
  <si>
    <t>JD20250828GY</t>
  </si>
  <si>
    <t xml:space="preserve">Detroit Edison </t>
  </si>
  <si>
    <t>TJ197</t>
  </si>
  <si>
    <t>REQ-1756223409847</t>
  </si>
  <si>
    <t>JD20250902DE</t>
  </si>
  <si>
    <t>Chrysler Brampton Projects</t>
  </si>
  <si>
    <t>TF181</t>
  </si>
  <si>
    <t>Chrysler Brampton GSO, ArcelorMittal, Atlantic Automotive Benton Harbour</t>
  </si>
  <si>
    <t>REQ-1756224007476</t>
  </si>
  <si>
    <t>dbinns@team-group.com</t>
  </si>
  <si>
    <t>Daniel</t>
  </si>
  <si>
    <t>3M Canada Company</t>
  </si>
  <si>
    <t>TW096</t>
  </si>
  <si>
    <t>REQ-1764104623718</t>
  </si>
  <si>
    <t>DB202511253CC</t>
  </si>
  <si>
    <t>REQ-1764106489642</t>
  </si>
  <si>
    <t>k2E95A43mKGbvSS</t>
  </si>
  <si>
    <t>TP091</t>
  </si>
  <si>
    <t>danbinns@gmail.com</t>
  </si>
  <si>
    <t>REQ-1764107406613</t>
  </si>
  <si>
    <t>TJ005</t>
  </si>
  <si>
    <t>REQ-1764108285387</t>
  </si>
  <si>
    <t>DB20251125CB</t>
  </si>
  <si>
    <t>asdasdf</t>
  </si>
  <si>
    <t>Error: Invalid email: asdf</t>
  </si>
  <si>
    <t>asd</t>
  </si>
  <si>
    <t>asdf</t>
  </si>
  <si>
    <t>ads</t>
  </si>
  <si>
    <t>adsf</t>
  </si>
  <si>
    <t>Casco Bagging</t>
  </si>
  <si>
    <t>TW062</t>
  </si>
  <si>
    <t>REQ-1764109564017</t>
  </si>
  <si>
    <t>Task ID</t>
  </si>
  <si>
    <t>Workflow ID</t>
  </si>
  <si>
    <t>Task Type</t>
  </si>
  <si>
    <t>Status</t>
  </si>
  <si>
    <t>Assigned To</t>
  </si>
  <si>
    <t>Started At</t>
  </si>
  <si>
    <t>Completed At</t>
  </si>
  <si>
    <t>Data</t>
  </si>
  <si>
    <t>Metadata</t>
  </si>
  <si>
    <t>External Ticket ID</t>
  </si>
  <si>
    <t>External System</t>
  </si>
  <si>
    <t>Last Synced At</t>
  </si>
  <si>
    <t>Workflow Type</t>
  </si>
  <si>
    <t>Initiated By</t>
  </si>
  <si>
    <t>Initiated At</t>
  </si>
  <si>
    <t>WF-NEWHIRE-1764104102576</t>
  </si>
  <si>
    <t>NewHire</t>
  </si>
  <si>
    <t>hr@team-group.com</t>
  </si>
  <si>
    <t>{"First Name":"Test","Last Name":"Employee","Requester Email":"test@team-group.com","Department":"IT","Reporting Manager":"Manager Name","Credit Card":"Yes","Fleetio / Vehicle":"Yes","JR":"Yes","30-60-90":"Yes","ADP Supervisor Access":"No","ADP Manager Access":"No","JONAS":"No","SiteDocs":"No"}</t>
  </si>
  <si>
    <t>Employee ID</t>
  </si>
  <si>
    <t>Site Number</t>
  </si>
  <si>
    <t>Reporting Manager Email</t>
  </si>
  <si>
    <t>Business Card</t>
  </si>
  <si>
    <t>JONAS Purchasing</t>
  </si>
  <si>
    <t>JONAS Field Time</t>
  </si>
  <si>
    <t>JOANS EBI</t>
  </si>
  <si>
    <t xml:space="preserve">Incidents </t>
  </si>
  <si>
    <t>SiteDocs Training</t>
  </si>
  <si>
    <t xml:space="preserve">Delivery App </t>
  </si>
  <si>
    <t>Hire / Start Date</t>
  </si>
  <si>
    <t>Job Site Name</t>
  </si>
  <si>
    <t>Employee Setup</t>
  </si>
  <si>
    <t>IT Setup</t>
  </si>
  <si>
    <t>Fleetio</t>
  </si>
  <si>
    <t>ADP</t>
  </si>
  <si>
    <t>JONAS</t>
  </si>
  <si>
    <t>Employee Request Submission</t>
  </si>
  <si>
    <t>Final Approval Time</t>
  </si>
  <si>
    <t>Needed By? (Date Requested)</t>
  </si>
  <si>
    <t>Urgency</t>
  </si>
  <si>
    <t>Response Time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</si>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</sst>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, h:mm:ss am/pm"/>
    <numFmt numFmtId="166" formatCode="m/d/yyyy h:mm:ss"/>
    <numFmt numFmtId="167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7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6" xfId="0" applyAlignment="1" applyFont="1" applyNumberForma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2" numFmtId="164" xfId="0" applyAlignment="1" applyBorder="1" applyFont="1" applyNumberFormat="1">
      <alignment horizontal="center" shrinkToFit="0" vertical="center" wrapText="0"/>
    </xf>
    <xf borderId="0" fillId="0" fontId="2" numFmtId="14" xfId="0" applyAlignment="1" applyFont="1" applyNumberFormat="1">
      <alignment horizontal="center" shrinkToFit="0" vertical="center" wrapText="0"/>
    </xf>
    <xf borderId="0" fillId="0" fontId="2" numFmtId="167" xfId="0" applyAlignment="1" applyFont="1" applyNumberFormat="1">
      <alignment horizontal="center"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46" xfId="0" applyAlignment="1" applyFont="1" applyNumberFormat="1">
      <alignment horizontal="center" shrinkToFit="0" vertical="center" wrapText="0"/>
    </xf>
    <xf borderId="0" fillId="0" fontId="2" numFmtId="4" xfId="0" applyAlignment="1" applyFont="1" applyNumberFormat="1">
      <alignment shrinkToFit="0" vertical="center" wrapText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  <vertical style="thin">
          <color rgb="FFD4D4D4"/>
        </vertical>
        <horizontal style="thin">
          <color rgb="FFD4D4D4"/>
        </horizontal>
      </border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34A853"/>
          <bgColor rgb="FF34A853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</dxfs>
  <tableStyles count="3">
    <tableStyle count="4" pivot="0" name="All 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loyee Directory-style">
      <tableStyleElement dxfId="7" type="headerRow"/>
      <tableStyleElement dxfId="2" type="firstRowStripe"/>
      <tableStyleElement dxfId="8" type="secondRowStripe"/>
      <tableStyleElement dxfId="9" size="0" type="wholeTable"/>
    </tableStyle>
    <tableStyle count="4" pivot="0" name="Onboarding Tracker-style">
      <tableStyleElement dxfId="7" type="headerRow"/>
      <tableStyleElement dxfId="2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D118" displayName="Form_Responses" name="Form_Responses" id="1">
  <autoFilter ref="$A$1:$ED$118"/>
  <tableColumns count="1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</tableColumns>
  <tableStyleInfo name="All Respon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I1000" displayName="Table1" name="Table1" id="2">
  <tableColumns count="35">
    <tableColumn name="Employee ID" id="1"/>
    <tableColumn name="First Name" id="2"/>
    <tableColumn name="Middle Name" id="3"/>
    <tableColumn name="Last Name" id="4"/>
    <tableColumn name="Preferred Name" id="5"/>
    <tableColumn name="Position / Job Title" id="6"/>
    <tableColumn name="Email Address" id="7"/>
    <tableColumn name="Phone Number" id="8"/>
    <tableColumn name="Hourly or Salary" id="9"/>
    <tableColumn name="Hire Date" id="10"/>
    <tableColumn name="Site Name" id="11"/>
    <tableColumn name="Site Number" id="12"/>
    <tableColumn name="Reporting Manager Name" id="13"/>
    <tableColumn name="Reporting Manager Email" id="14"/>
    <tableColumn name="Google Account" id="15"/>
    <tableColumn name="Business Card" id="16"/>
    <tableColumn name="30-60-90" id="17"/>
    <tableColumn name="ADP Manager Access" id="18"/>
    <tableColumn name="BOSS User Account" id="19"/>
    <tableColumn name="Cost Sheet" id="20"/>
    <tableColumn name="Leader Access" id="21"/>
    <tableColumn name="Trip Reports Access" id="22"/>
    <tableColumn name="JR" id="23"/>
    <tableColumn name="JONAS Purchasing" id="24"/>
    <tableColumn name="JONAS Field Time" id="25"/>
    <tableColumn name="JOANS EBI" id="26"/>
    <tableColumn name="Incidents " id="27"/>
    <tableColumn name="SiteDocs Training" id="28"/>
    <tableColumn name="CAA" id="29"/>
    <tableColumn name="Fleetio / Vehicle" id="30"/>
    <tableColumn name="Credit Card" id="31"/>
    <tableColumn name="Delivery App " id="32"/>
    <tableColumn name="Mobile Phone" id="33"/>
    <tableColumn name="Computer" id="34"/>
    <tableColumn name="SiteDocs Tablet" id="35"/>
  </tableColumns>
  <tableStyleInfo name="Employee Directory-style" showColumnStripes="0" showFirstColumn="1" showLastColumn="1" showRowStripes="1"/>
</table>
</file>

<file path=xl/tables/table3.xml><?xml version="1.0" encoding="utf-8"?>
<table xmlns="http://schemas.openxmlformats.org/spreadsheetml/2006/main" ref="A1:Y1000" displayName="Table2" name="Table2" id="3">
  <tableColumns count="25">
    <tableColumn name="Employee ID" id="1"/>
    <tableColumn name="First Name" id="2"/>
    <tableColumn name="Middle Name" id="3"/>
    <tableColumn name="Last Name" id="4"/>
    <tableColumn name="Preferred Name" id="5"/>
    <tableColumn name="Hire / Start Date" id="6"/>
    <tableColumn name="Job Site Name" id="7"/>
    <tableColumn name="Hire Date" id="8"/>
    <tableColumn name="Employee Setup" id="9"/>
    <tableColumn name="IT Setup" id="10"/>
    <tableColumn name="Fleetio" id="11"/>
    <tableColumn name="Credit Card" id="12"/>
    <tableColumn name="Business Card" id="13"/>
    <tableColumn name="30-60-90" id="14"/>
    <tableColumn name="ADP" id="15"/>
    <tableColumn name="JR" id="16"/>
    <tableColumn name="JONAS" id="17"/>
    <tableColumn name="SiteDocs Tablet" id="18"/>
    <tableColumn name="Workflow Status" id="19"/>
    <tableColumn name="Employee Request Submission" id="20"/>
    <tableColumn name="Final Approval Time" id="21"/>
    <tableColumn name="Needed By? (Date Requested)" id="22"/>
    <tableColumn name="Urgency" id="23"/>
    <tableColumn name="Response Time" id="24"/>
    <tableColumn name="." id="25"/>
  </tableColumns>
  <tableStyleInfo name="Onboarding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12.63"/>
    <col customWidth="1" min="6" max="17" width="18.88"/>
    <col customWidth="1" min="18" max="18" width="19.13"/>
    <col customWidth="1" min="19" max="20" width="18.88"/>
    <col customWidth="1" min="21" max="21" width="24.0"/>
    <col customWidth="1" min="22" max="22" width="24.13"/>
    <col customWidth="1" min="23" max="24" width="18.88"/>
    <col customWidth="1" min="25" max="25" width="21.13"/>
    <col customWidth="1" min="26" max="27" width="18.88"/>
    <col customWidth="1" min="28" max="28" width="20.0"/>
    <col customWidth="1" min="29" max="29" width="18.88"/>
    <col customWidth="1" min="30" max="30" width="26.13"/>
    <col customWidth="1" min="31" max="31" width="34.25"/>
    <col customWidth="1" min="32" max="32" width="19.13"/>
    <col customWidth="1" min="33" max="36" width="18.88"/>
    <col customWidth="1" min="37" max="37" width="19.75"/>
    <col customWidth="1" min="38" max="44" width="18.88"/>
    <col customWidth="1" min="45" max="45" width="37.63"/>
    <col customWidth="1" min="46" max="46" width="21.25"/>
    <col customWidth="1" min="47" max="47" width="37.63"/>
    <col customWidth="1" min="48" max="48" width="21.25"/>
    <col customWidth="1" min="49" max="49" width="18.88"/>
    <col customWidth="1" min="50" max="50" width="32.88"/>
    <col customWidth="1" min="51" max="51" width="24.25"/>
    <col customWidth="1" min="52" max="52" width="27.25"/>
    <col customWidth="1" min="53" max="54" width="27.5"/>
    <col customWidth="1" min="55" max="55" width="18.88"/>
    <col customWidth="1" min="56" max="56" width="22.75"/>
    <col customWidth="1" min="57" max="57" width="26.13"/>
    <col customWidth="1" min="58" max="134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1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1" t="s">
        <v>57</v>
      </c>
      <c r="BG1" s="2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5" t="s">
        <v>66</v>
      </c>
      <c r="BP1" s="3" t="s">
        <v>67</v>
      </c>
      <c r="BQ1" s="3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3" t="s">
        <v>74</v>
      </c>
      <c r="BX1" s="5" t="s">
        <v>75</v>
      </c>
      <c r="BY1" s="3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64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5" t="s">
        <v>129</v>
      </c>
      <c r="EB1" s="5" t="s">
        <v>130</v>
      </c>
      <c r="EC1" s="5" t="s">
        <v>131</v>
      </c>
      <c r="ED1" s="5" t="s">
        <v>132</v>
      </c>
    </row>
    <row r="2" ht="22.5" customHeight="1">
      <c r="A2" s="6"/>
      <c r="B2" s="6"/>
      <c r="C2" s="6"/>
      <c r="D2" s="6"/>
      <c r="E2" s="6"/>
      <c r="F2" s="7">
        <v>45863.0</v>
      </c>
      <c r="G2" s="8" t="s">
        <v>133</v>
      </c>
      <c r="H2" s="8" t="s">
        <v>133</v>
      </c>
      <c r="I2" s="7">
        <v>45856.0</v>
      </c>
      <c r="J2" s="6"/>
      <c r="K2" s="6"/>
      <c r="L2" s="6"/>
      <c r="M2" s="9"/>
      <c r="N2" s="8" t="s">
        <v>133</v>
      </c>
      <c r="O2" s="8" t="s">
        <v>133</v>
      </c>
      <c r="P2" s="8" t="s">
        <v>133</v>
      </c>
      <c r="Q2" s="8" t="s">
        <v>133</v>
      </c>
      <c r="R2" s="8" t="s">
        <v>133</v>
      </c>
      <c r="S2" s="8" t="s">
        <v>133</v>
      </c>
      <c r="T2" s="8" t="s">
        <v>133</v>
      </c>
      <c r="U2" s="8" t="s">
        <v>133</v>
      </c>
      <c r="V2" s="8" t="s">
        <v>133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8" t="s">
        <v>133</v>
      </c>
      <c r="AU2" s="6"/>
      <c r="AV2" s="8" t="s">
        <v>133</v>
      </c>
      <c r="AW2" s="8" t="s">
        <v>133</v>
      </c>
      <c r="AX2" s="8" t="s">
        <v>133</v>
      </c>
      <c r="AY2" s="8" t="s">
        <v>133</v>
      </c>
      <c r="AZ2" s="8" t="s">
        <v>133</v>
      </c>
      <c r="BA2" s="8" t="s">
        <v>134</v>
      </c>
      <c r="BB2" s="8" t="s">
        <v>133</v>
      </c>
      <c r="BC2" s="6"/>
      <c r="BD2" s="6"/>
      <c r="BE2" s="8" t="s">
        <v>133</v>
      </c>
      <c r="BF2" s="8" t="s">
        <v>133</v>
      </c>
      <c r="BG2" s="7">
        <v>45863.0</v>
      </c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</row>
    <row r="3" ht="22.5" customHeight="1">
      <c r="A3" s="6"/>
      <c r="B3" s="6"/>
      <c r="C3" s="6"/>
      <c r="D3" s="6"/>
      <c r="E3" s="6"/>
      <c r="F3" s="7">
        <v>45863.0</v>
      </c>
      <c r="G3" s="8" t="s">
        <v>133</v>
      </c>
      <c r="H3" s="8" t="s">
        <v>135</v>
      </c>
      <c r="I3" s="7">
        <v>45856.0</v>
      </c>
      <c r="J3" s="6"/>
      <c r="K3" s="6"/>
      <c r="L3" s="6"/>
      <c r="M3" s="9"/>
      <c r="N3" s="8" t="s">
        <v>133</v>
      </c>
      <c r="O3" s="8" t="s">
        <v>133</v>
      </c>
      <c r="P3" s="8" t="s">
        <v>133</v>
      </c>
      <c r="Q3" s="8" t="s">
        <v>133</v>
      </c>
      <c r="R3" s="8" t="s">
        <v>133</v>
      </c>
      <c r="S3" s="8" t="s">
        <v>133</v>
      </c>
      <c r="T3" s="8" t="s">
        <v>133</v>
      </c>
      <c r="U3" s="8" t="s">
        <v>133</v>
      </c>
      <c r="V3" s="8" t="s">
        <v>133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8" t="s">
        <v>133</v>
      </c>
      <c r="AU3" s="6"/>
      <c r="AV3" s="8" t="s">
        <v>133</v>
      </c>
      <c r="AW3" s="8" t="s">
        <v>133</v>
      </c>
      <c r="AX3" s="8" t="s">
        <v>133</v>
      </c>
      <c r="AY3" s="8" t="s">
        <v>133</v>
      </c>
      <c r="AZ3" s="8" t="s">
        <v>133</v>
      </c>
      <c r="BA3" s="8" t="s">
        <v>134</v>
      </c>
      <c r="BB3" s="8" t="s">
        <v>133</v>
      </c>
      <c r="BC3" s="6"/>
      <c r="BD3" s="6"/>
      <c r="BE3" s="8" t="s">
        <v>133</v>
      </c>
      <c r="BF3" s="8" t="s">
        <v>133</v>
      </c>
      <c r="BG3" s="7">
        <v>45863.0</v>
      </c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</row>
    <row r="4" ht="22.5" customHeight="1">
      <c r="A4" s="6"/>
      <c r="B4" s="6"/>
      <c r="C4" s="8"/>
      <c r="D4" s="8"/>
      <c r="E4" s="8" t="s">
        <v>136</v>
      </c>
      <c r="F4" s="7">
        <v>45862.0</v>
      </c>
      <c r="G4" s="8" t="s">
        <v>137</v>
      </c>
      <c r="H4" s="8" t="s">
        <v>135</v>
      </c>
      <c r="I4" s="7">
        <v>45866.0</v>
      </c>
      <c r="J4" s="8" t="s">
        <v>138</v>
      </c>
      <c r="K4" s="8" t="s">
        <v>139</v>
      </c>
      <c r="L4" s="8" t="s">
        <v>140</v>
      </c>
      <c r="M4" s="9"/>
      <c r="N4" s="8" t="s">
        <v>141</v>
      </c>
      <c r="O4" s="8" t="s">
        <v>142</v>
      </c>
      <c r="P4" s="8" t="s">
        <v>133</v>
      </c>
      <c r="Q4" s="8" t="s">
        <v>143</v>
      </c>
      <c r="R4" s="8" t="s">
        <v>144</v>
      </c>
      <c r="S4" s="8" t="s">
        <v>145</v>
      </c>
      <c r="T4" s="8">
        <v>123.0</v>
      </c>
      <c r="U4" s="8" t="s">
        <v>146</v>
      </c>
      <c r="V4" s="8" t="s">
        <v>135</v>
      </c>
      <c r="W4" s="8" t="s">
        <v>147</v>
      </c>
      <c r="X4" s="8" t="s">
        <v>147</v>
      </c>
      <c r="Y4" s="8" t="s">
        <v>147</v>
      </c>
      <c r="Z4" s="8" t="s">
        <v>147</v>
      </c>
      <c r="AA4" s="8" t="s">
        <v>147</v>
      </c>
      <c r="AB4" s="8" t="s">
        <v>147</v>
      </c>
      <c r="AC4" s="8" t="s">
        <v>147</v>
      </c>
      <c r="AD4" s="8" t="s">
        <v>147</v>
      </c>
      <c r="AE4" s="8" t="s">
        <v>147</v>
      </c>
      <c r="AF4" s="8" t="s">
        <v>147</v>
      </c>
      <c r="AG4" s="8" t="s">
        <v>147</v>
      </c>
      <c r="AH4" s="8"/>
      <c r="AI4" s="8" t="s">
        <v>147</v>
      </c>
      <c r="AJ4" s="8" t="s">
        <v>147</v>
      </c>
      <c r="AK4" s="8" t="s">
        <v>147</v>
      </c>
      <c r="AL4" s="8" t="s">
        <v>147</v>
      </c>
      <c r="AM4" s="8" t="s">
        <v>147</v>
      </c>
      <c r="AN4" s="8" t="s">
        <v>147</v>
      </c>
      <c r="AO4" s="8" t="s">
        <v>147</v>
      </c>
      <c r="AP4" s="8" t="s">
        <v>147</v>
      </c>
      <c r="AQ4" s="8" t="s">
        <v>147</v>
      </c>
      <c r="AR4" s="8" t="s">
        <v>147</v>
      </c>
      <c r="AS4" s="8" t="s">
        <v>136</v>
      </c>
      <c r="AT4" s="8" t="s">
        <v>146</v>
      </c>
      <c r="AU4" s="8" t="s">
        <v>136</v>
      </c>
      <c r="AV4" s="8" t="s">
        <v>146</v>
      </c>
      <c r="AW4" s="8">
        <v>123.0</v>
      </c>
      <c r="AX4" s="8" t="s">
        <v>148</v>
      </c>
      <c r="AY4" s="8" t="s">
        <v>146</v>
      </c>
      <c r="AZ4" s="8" t="s">
        <v>146</v>
      </c>
      <c r="BA4" s="8" t="s">
        <v>149</v>
      </c>
      <c r="BB4" s="8" t="s">
        <v>146</v>
      </c>
      <c r="BC4" s="8" t="s">
        <v>136</v>
      </c>
      <c r="BD4" s="8" t="s">
        <v>136</v>
      </c>
      <c r="BE4" s="8" t="s">
        <v>146</v>
      </c>
      <c r="BF4" s="8" t="s">
        <v>137</v>
      </c>
      <c r="BG4" s="7">
        <v>45862.0</v>
      </c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</row>
    <row r="5" ht="22.5" customHeight="1">
      <c r="A5" s="6"/>
      <c r="B5" s="6"/>
      <c r="C5" s="8"/>
      <c r="D5" s="8"/>
      <c r="E5" s="8" t="s">
        <v>136</v>
      </c>
      <c r="F5" s="7">
        <v>45863.0</v>
      </c>
      <c r="G5" s="8" t="s">
        <v>137</v>
      </c>
      <c r="H5" s="8" t="s">
        <v>135</v>
      </c>
      <c r="I5" s="7">
        <v>45902.0</v>
      </c>
      <c r="J5" s="8" t="s">
        <v>138</v>
      </c>
      <c r="K5" s="8" t="s">
        <v>139</v>
      </c>
      <c r="L5" s="8" t="s">
        <v>150</v>
      </c>
      <c r="M5" s="9"/>
      <c r="N5" s="8" t="s">
        <v>151</v>
      </c>
      <c r="O5" s="8" t="s">
        <v>152</v>
      </c>
      <c r="P5" s="8" t="s">
        <v>153</v>
      </c>
      <c r="Q5" s="8" t="s">
        <v>152</v>
      </c>
      <c r="R5" s="8" t="s">
        <v>154</v>
      </c>
      <c r="S5" s="8" t="s">
        <v>155</v>
      </c>
      <c r="T5" s="8">
        <v>123.0</v>
      </c>
      <c r="U5" s="8" t="s">
        <v>156</v>
      </c>
      <c r="V5" s="8" t="s">
        <v>135</v>
      </c>
      <c r="W5" s="8" t="s">
        <v>147</v>
      </c>
      <c r="X5" s="8" t="s">
        <v>147</v>
      </c>
      <c r="Y5" s="8" t="s">
        <v>147</v>
      </c>
      <c r="Z5" s="8" t="s">
        <v>147</v>
      </c>
      <c r="AA5" s="8" t="s">
        <v>147</v>
      </c>
      <c r="AB5" s="8" t="s">
        <v>147</v>
      </c>
      <c r="AC5" s="8" t="s">
        <v>147</v>
      </c>
      <c r="AD5" s="8" t="s">
        <v>147</v>
      </c>
      <c r="AE5" s="8" t="s">
        <v>147</v>
      </c>
      <c r="AF5" s="8" t="s">
        <v>147</v>
      </c>
      <c r="AG5" s="8" t="s">
        <v>147</v>
      </c>
      <c r="AH5" s="8"/>
      <c r="AI5" s="8" t="s">
        <v>147</v>
      </c>
      <c r="AJ5" s="8" t="s">
        <v>147</v>
      </c>
      <c r="AK5" s="8" t="s">
        <v>147</v>
      </c>
      <c r="AL5" s="8" t="s">
        <v>147</v>
      </c>
      <c r="AM5" s="8" t="s">
        <v>147</v>
      </c>
      <c r="AN5" s="8" t="s">
        <v>147</v>
      </c>
      <c r="AO5" s="8" t="s">
        <v>147</v>
      </c>
      <c r="AP5" s="8" t="s">
        <v>147</v>
      </c>
      <c r="AQ5" s="8" t="s">
        <v>147</v>
      </c>
      <c r="AR5" s="8" t="s">
        <v>147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 t="s">
        <v>157</v>
      </c>
      <c r="BF5" s="8" t="s">
        <v>137</v>
      </c>
      <c r="BG5" s="7">
        <v>45863.0</v>
      </c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</row>
    <row r="6" ht="22.5" customHeight="1">
      <c r="A6" s="6"/>
      <c r="B6" s="6"/>
      <c r="C6" s="8"/>
      <c r="D6" s="8"/>
      <c r="E6" s="8" t="s">
        <v>136</v>
      </c>
      <c r="F6" s="7">
        <v>45863.0</v>
      </c>
      <c r="G6" s="8" t="s">
        <v>137</v>
      </c>
      <c r="H6" s="8" t="s">
        <v>135</v>
      </c>
      <c r="I6" s="7">
        <v>45874.0</v>
      </c>
      <c r="J6" s="8" t="s">
        <v>138</v>
      </c>
      <c r="K6" s="8" t="s">
        <v>139</v>
      </c>
      <c r="L6" s="8" t="s">
        <v>150</v>
      </c>
      <c r="M6" s="9"/>
      <c r="N6" s="8" t="s">
        <v>151</v>
      </c>
      <c r="O6" s="8" t="s">
        <v>152</v>
      </c>
      <c r="P6" s="8" t="s">
        <v>153</v>
      </c>
      <c r="Q6" s="8" t="s">
        <v>152</v>
      </c>
      <c r="R6" s="8" t="s">
        <v>154</v>
      </c>
      <c r="S6" s="8" t="s">
        <v>155</v>
      </c>
      <c r="T6" s="8">
        <v>123.0</v>
      </c>
      <c r="U6" s="8" t="s">
        <v>156</v>
      </c>
      <c r="V6" s="8" t="s">
        <v>135</v>
      </c>
      <c r="W6" s="8" t="s">
        <v>147</v>
      </c>
      <c r="X6" s="8" t="s">
        <v>147</v>
      </c>
      <c r="Y6" s="8" t="s">
        <v>147</v>
      </c>
      <c r="Z6" s="8" t="s">
        <v>147</v>
      </c>
      <c r="AA6" s="8" t="s">
        <v>147</v>
      </c>
      <c r="AB6" s="8" t="s">
        <v>147</v>
      </c>
      <c r="AC6" s="8" t="s">
        <v>147</v>
      </c>
      <c r="AD6" s="8" t="s">
        <v>147</v>
      </c>
      <c r="AE6" s="8" t="s">
        <v>147</v>
      </c>
      <c r="AF6" s="8" t="s">
        <v>147</v>
      </c>
      <c r="AG6" s="8" t="s">
        <v>147</v>
      </c>
      <c r="AH6" s="8"/>
      <c r="AI6" s="8" t="s">
        <v>147</v>
      </c>
      <c r="AJ6" s="8" t="s">
        <v>147</v>
      </c>
      <c r="AK6" s="8" t="s">
        <v>147</v>
      </c>
      <c r="AL6" s="8" t="s">
        <v>147</v>
      </c>
      <c r="AM6" s="8" t="s">
        <v>147</v>
      </c>
      <c r="AN6" s="8" t="s">
        <v>147</v>
      </c>
      <c r="AO6" s="8" t="s">
        <v>147</v>
      </c>
      <c r="AP6" s="8" t="s">
        <v>147</v>
      </c>
      <c r="AQ6" s="8" t="s">
        <v>147</v>
      </c>
      <c r="AR6" s="8" t="s">
        <v>147</v>
      </c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 t="s">
        <v>158</v>
      </c>
      <c r="BF6" s="8" t="s">
        <v>137</v>
      </c>
      <c r="BG6" s="7">
        <v>45863.0</v>
      </c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</row>
    <row r="7" ht="22.5" customHeight="1">
      <c r="A7" s="6"/>
      <c r="B7" s="6"/>
      <c r="C7" s="8"/>
      <c r="D7" s="8"/>
      <c r="E7" s="8" t="s">
        <v>136</v>
      </c>
      <c r="F7" s="7">
        <v>45863.0</v>
      </c>
      <c r="G7" s="8" t="s">
        <v>137</v>
      </c>
      <c r="H7" s="8" t="s">
        <v>135</v>
      </c>
      <c r="I7" s="7">
        <v>45874.0</v>
      </c>
      <c r="J7" s="8" t="s">
        <v>138</v>
      </c>
      <c r="K7" s="8" t="s">
        <v>139</v>
      </c>
      <c r="L7" s="8" t="s">
        <v>150</v>
      </c>
      <c r="M7" s="8">
        <v>2.50725006E8</v>
      </c>
      <c r="N7" s="8" t="s">
        <v>151</v>
      </c>
      <c r="O7" s="8" t="s">
        <v>152</v>
      </c>
      <c r="P7" s="8" t="s">
        <v>153</v>
      </c>
      <c r="Q7" s="8" t="s">
        <v>152</v>
      </c>
      <c r="R7" s="8" t="s">
        <v>154</v>
      </c>
      <c r="S7" s="8" t="s">
        <v>155</v>
      </c>
      <c r="T7" s="8">
        <v>123.0</v>
      </c>
      <c r="U7" s="8" t="s">
        <v>156</v>
      </c>
      <c r="V7" s="8" t="s">
        <v>135</v>
      </c>
      <c r="W7" s="8" t="s">
        <v>147</v>
      </c>
      <c r="X7" s="8" t="s">
        <v>147</v>
      </c>
      <c r="Y7" s="8" t="s">
        <v>147</v>
      </c>
      <c r="Z7" s="8" t="s">
        <v>147</v>
      </c>
      <c r="AA7" s="8" t="s">
        <v>147</v>
      </c>
      <c r="AB7" s="8" t="s">
        <v>147</v>
      </c>
      <c r="AC7" s="8" t="s">
        <v>147</v>
      </c>
      <c r="AD7" s="8" t="s">
        <v>147</v>
      </c>
      <c r="AE7" s="8" t="s">
        <v>147</v>
      </c>
      <c r="AF7" s="8" t="s">
        <v>147</v>
      </c>
      <c r="AG7" s="8" t="s">
        <v>147</v>
      </c>
      <c r="AH7" s="8"/>
      <c r="AI7" s="8" t="s">
        <v>147</v>
      </c>
      <c r="AJ7" s="8" t="s">
        <v>147</v>
      </c>
      <c r="AK7" s="8" t="s">
        <v>147</v>
      </c>
      <c r="AL7" s="8" t="s">
        <v>147</v>
      </c>
      <c r="AM7" s="8" t="s">
        <v>147</v>
      </c>
      <c r="AN7" s="8" t="s">
        <v>147</v>
      </c>
      <c r="AO7" s="8" t="s">
        <v>147</v>
      </c>
      <c r="AP7" s="8" t="s">
        <v>147</v>
      </c>
      <c r="AQ7" s="8" t="s">
        <v>147</v>
      </c>
      <c r="AR7" s="8" t="s">
        <v>147</v>
      </c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 t="s">
        <v>158</v>
      </c>
      <c r="BF7" s="8" t="s">
        <v>137</v>
      </c>
      <c r="BG7" s="7">
        <v>45863.0</v>
      </c>
      <c r="BH7" s="9"/>
      <c r="BI7" s="9"/>
      <c r="BJ7" s="9"/>
      <c r="BK7" s="9"/>
      <c r="BL7" s="9"/>
      <c r="BM7" s="9"/>
      <c r="BN7" s="9"/>
      <c r="BO7" s="8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</row>
    <row r="8" ht="22.5" customHeight="1">
      <c r="A8" s="6"/>
      <c r="B8" s="6"/>
      <c r="C8" s="8"/>
      <c r="D8" s="8"/>
      <c r="E8" s="8" t="s">
        <v>136</v>
      </c>
      <c r="F8" s="7">
        <v>45863.0</v>
      </c>
      <c r="G8" s="8" t="s">
        <v>137</v>
      </c>
      <c r="H8" s="8" t="s">
        <v>135</v>
      </c>
      <c r="I8" s="7">
        <v>45874.0</v>
      </c>
      <c r="J8" s="8" t="s">
        <v>138</v>
      </c>
      <c r="K8" s="8" t="s">
        <v>139</v>
      </c>
      <c r="L8" s="8" t="s">
        <v>150</v>
      </c>
      <c r="M8" s="8">
        <v>2.50725007E8</v>
      </c>
      <c r="N8" s="8" t="s">
        <v>151</v>
      </c>
      <c r="O8" s="8" t="s">
        <v>152</v>
      </c>
      <c r="P8" s="8" t="s">
        <v>153</v>
      </c>
      <c r="Q8" s="8" t="s">
        <v>152</v>
      </c>
      <c r="R8" s="8" t="s">
        <v>154</v>
      </c>
      <c r="S8" s="8" t="s">
        <v>155</v>
      </c>
      <c r="T8" s="8">
        <v>123.0</v>
      </c>
      <c r="U8" s="8" t="s">
        <v>156</v>
      </c>
      <c r="V8" s="8" t="s">
        <v>135</v>
      </c>
      <c r="W8" s="8" t="s">
        <v>147</v>
      </c>
      <c r="X8" s="8" t="s">
        <v>147</v>
      </c>
      <c r="Y8" s="8" t="s">
        <v>147</v>
      </c>
      <c r="Z8" s="8" t="s">
        <v>147</v>
      </c>
      <c r="AA8" s="8" t="s">
        <v>147</v>
      </c>
      <c r="AB8" s="8" t="s">
        <v>147</v>
      </c>
      <c r="AC8" s="8" t="s">
        <v>147</v>
      </c>
      <c r="AD8" s="8" t="s">
        <v>147</v>
      </c>
      <c r="AE8" s="8" t="s">
        <v>147</v>
      </c>
      <c r="AF8" s="8" t="s">
        <v>147</v>
      </c>
      <c r="AG8" s="8" t="s">
        <v>147</v>
      </c>
      <c r="AH8" s="8"/>
      <c r="AI8" s="8" t="s">
        <v>147</v>
      </c>
      <c r="AJ8" s="8" t="s">
        <v>147</v>
      </c>
      <c r="AK8" s="8" t="s">
        <v>147</v>
      </c>
      <c r="AL8" s="8" t="s">
        <v>147</v>
      </c>
      <c r="AM8" s="8" t="s">
        <v>147</v>
      </c>
      <c r="AN8" s="8" t="s">
        <v>147</v>
      </c>
      <c r="AO8" s="8" t="s">
        <v>147</v>
      </c>
      <c r="AP8" s="8" t="s">
        <v>147</v>
      </c>
      <c r="AQ8" s="8" t="s">
        <v>147</v>
      </c>
      <c r="AR8" s="8" t="s">
        <v>147</v>
      </c>
      <c r="AS8" s="8" t="s">
        <v>136</v>
      </c>
      <c r="AT8" s="8" t="s">
        <v>146</v>
      </c>
      <c r="AU8" s="8" t="s">
        <v>136</v>
      </c>
      <c r="AV8" s="8" t="s">
        <v>159</v>
      </c>
      <c r="AW8" s="8">
        <v>123.0</v>
      </c>
      <c r="AX8" s="8">
        <v>123.0</v>
      </c>
      <c r="AY8" s="8">
        <v>123.0</v>
      </c>
      <c r="AZ8" s="8" t="s">
        <v>160</v>
      </c>
      <c r="BA8" s="8">
        <v>123.0</v>
      </c>
      <c r="BB8" s="8">
        <v>123.0</v>
      </c>
      <c r="BC8" s="8" t="s">
        <v>136</v>
      </c>
      <c r="BD8" s="8" t="s">
        <v>136</v>
      </c>
      <c r="BE8" s="8" t="s">
        <v>158</v>
      </c>
      <c r="BF8" s="8" t="s">
        <v>137</v>
      </c>
      <c r="BG8" s="7">
        <v>45863.0</v>
      </c>
      <c r="BH8" s="9"/>
      <c r="BI8" s="9"/>
      <c r="BJ8" s="9"/>
      <c r="BK8" s="9"/>
      <c r="BL8" s="9"/>
      <c r="BM8" s="9"/>
      <c r="BN8" s="9"/>
      <c r="BO8" s="8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</row>
    <row r="9" ht="22.5" customHeight="1">
      <c r="A9" s="6"/>
      <c r="B9" s="6"/>
      <c r="C9" s="8"/>
      <c r="D9" s="8"/>
      <c r="E9" s="8" t="s">
        <v>136</v>
      </c>
      <c r="F9" s="7">
        <v>45865.0</v>
      </c>
      <c r="G9" s="8" t="s">
        <v>137</v>
      </c>
      <c r="H9" s="8" t="s">
        <v>135</v>
      </c>
      <c r="I9" s="7">
        <v>45874.0</v>
      </c>
      <c r="J9" s="8" t="s">
        <v>138</v>
      </c>
      <c r="K9" s="8" t="s">
        <v>139</v>
      </c>
      <c r="L9" s="8" t="s">
        <v>140</v>
      </c>
      <c r="M9" s="8">
        <v>2.50727008E8</v>
      </c>
      <c r="N9" s="8" t="s">
        <v>151</v>
      </c>
      <c r="O9" s="8" t="s">
        <v>152</v>
      </c>
      <c r="P9" s="8" t="s">
        <v>153</v>
      </c>
      <c r="Q9" s="8" t="s">
        <v>152</v>
      </c>
      <c r="R9" s="8" t="s">
        <v>154</v>
      </c>
      <c r="S9" s="8" t="s">
        <v>155</v>
      </c>
      <c r="T9" s="8">
        <v>123.0</v>
      </c>
      <c r="U9" s="8" t="s">
        <v>156</v>
      </c>
      <c r="V9" s="8" t="s">
        <v>135</v>
      </c>
      <c r="W9" s="8" t="s">
        <v>147</v>
      </c>
      <c r="X9" s="8" t="s">
        <v>147</v>
      </c>
      <c r="Y9" s="8" t="s">
        <v>147</v>
      </c>
      <c r="Z9" s="8" t="s">
        <v>147</v>
      </c>
      <c r="AA9" s="8" t="s">
        <v>147</v>
      </c>
      <c r="AB9" s="8" t="s">
        <v>147</v>
      </c>
      <c r="AC9" s="8" t="s">
        <v>147</v>
      </c>
      <c r="AD9" s="8" t="s">
        <v>147</v>
      </c>
      <c r="AE9" s="8" t="s">
        <v>147</v>
      </c>
      <c r="AF9" s="8" t="s">
        <v>147</v>
      </c>
      <c r="AG9" s="8" t="s">
        <v>147</v>
      </c>
      <c r="AH9" s="8"/>
      <c r="AI9" s="8" t="s">
        <v>147</v>
      </c>
      <c r="AJ9" s="8" t="s">
        <v>147</v>
      </c>
      <c r="AK9" s="8" t="s">
        <v>147</v>
      </c>
      <c r="AL9" s="8" t="s">
        <v>147</v>
      </c>
      <c r="AM9" s="8" t="s">
        <v>147</v>
      </c>
      <c r="AN9" s="8" t="s">
        <v>147</v>
      </c>
      <c r="AO9" s="8" t="s">
        <v>147</v>
      </c>
      <c r="AP9" s="8" t="s">
        <v>147</v>
      </c>
      <c r="AQ9" s="8" t="s">
        <v>147</v>
      </c>
      <c r="AR9" s="8" t="s">
        <v>147</v>
      </c>
      <c r="AS9" s="8" t="s">
        <v>136</v>
      </c>
      <c r="AT9" s="8" t="s">
        <v>146</v>
      </c>
      <c r="AU9" s="8" t="s">
        <v>136</v>
      </c>
      <c r="AV9" s="8" t="s">
        <v>159</v>
      </c>
      <c r="AW9" s="8">
        <v>123.0</v>
      </c>
      <c r="AX9" s="8" t="s">
        <v>161</v>
      </c>
      <c r="AY9" s="8" t="s">
        <v>162</v>
      </c>
      <c r="AZ9" s="8">
        <v>123.0</v>
      </c>
      <c r="BA9" s="8"/>
      <c r="BB9" s="8">
        <v>123.0</v>
      </c>
      <c r="BC9" s="8" t="s">
        <v>163</v>
      </c>
      <c r="BD9" s="8" t="s">
        <v>136</v>
      </c>
      <c r="BE9" s="8" t="s">
        <v>158</v>
      </c>
      <c r="BF9" s="8" t="s">
        <v>137</v>
      </c>
      <c r="BG9" s="7">
        <v>45865.0</v>
      </c>
      <c r="BH9" s="9"/>
      <c r="BI9" s="9"/>
      <c r="BJ9" s="9"/>
      <c r="BK9" s="9"/>
      <c r="BL9" s="9"/>
      <c r="BM9" s="9"/>
      <c r="BN9" s="9"/>
      <c r="BO9" s="8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</row>
    <row r="10" ht="22.5" customHeight="1">
      <c r="A10" s="6"/>
      <c r="B10" s="6"/>
      <c r="C10" s="8"/>
      <c r="D10" s="8"/>
      <c r="E10" s="8" t="s">
        <v>136</v>
      </c>
      <c r="F10" s="7">
        <v>45865.0</v>
      </c>
      <c r="G10" s="8" t="s">
        <v>137</v>
      </c>
      <c r="H10" s="8" t="s">
        <v>135</v>
      </c>
      <c r="I10" s="7">
        <v>45874.0</v>
      </c>
      <c r="J10" s="8" t="s">
        <v>138</v>
      </c>
      <c r="K10" s="8" t="s">
        <v>139</v>
      </c>
      <c r="L10" s="8" t="s">
        <v>140</v>
      </c>
      <c r="M10" s="8">
        <v>2.50727009E8</v>
      </c>
      <c r="N10" s="8" t="s">
        <v>151</v>
      </c>
      <c r="O10" s="8" t="s">
        <v>152</v>
      </c>
      <c r="P10" s="8" t="s">
        <v>153</v>
      </c>
      <c r="Q10" s="8" t="s">
        <v>152</v>
      </c>
      <c r="R10" s="8" t="s">
        <v>154</v>
      </c>
      <c r="S10" s="8" t="s">
        <v>155</v>
      </c>
      <c r="T10" s="8">
        <v>123.0</v>
      </c>
      <c r="U10" s="8" t="s">
        <v>156</v>
      </c>
      <c r="V10" s="8" t="s">
        <v>135</v>
      </c>
      <c r="W10" s="8" t="s">
        <v>147</v>
      </c>
      <c r="X10" s="8" t="s">
        <v>147</v>
      </c>
      <c r="Y10" s="8" t="s">
        <v>147</v>
      </c>
      <c r="Z10" s="8" t="s">
        <v>147</v>
      </c>
      <c r="AA10" s="8"/>
      <c r="AB10" s="8"/>
      <c r="AC10" s="8"/>
      <c r="AD10" s="8" t="s">
        <v>147</v>
      </c>
      <c r="AE10" s="8" t="s">
        <v>164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 t="s">
        <v>158</v>
      </c>
      <c r="BF10" s="8" t="s">
        <v>137</v>
      </c>
      <c r="BG10" s="7">
        <v>45865.0</v>
      </c>
      <c r="BH10" s="9"/>
      <c r="BI10" s="9"/>
      <c r="BJ10" s="9"/>
      <c r="BK10" s="9"/>
      <c r="BL10" s="9"/>
      <c r="BM10" s="9"/>
      <c r="BN10" s="9"/>
      <c r="BO10" s="8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</row>
    <row r="11" ht="22.5" customHeight="1">
      <c r="A11" s="6"/>
      <c r="B11" s="6"/>
      <c r="C11" s="8"/>
      <c r="D11" s="8"/>
      <c r="E11" s="8" t="s">
        <v>136</v>
      </c>
      <c r="F11" s="7">
        <v>45866.0</v>
      </c>
      <c r="G11" s="8" t="s">
        <v>137</v>
      </c>
      <c r="H11" s="8" t="s">
        <v>135</v>
      </c>
      <c r="I11" s="7"/>
      <c r="J11" s="8"/>
      <c r="K11" s="8"/>
      <c r="L11" s="8"/>
      <c r="M11" s="8">
        <v>2.5072701E8</v>
      </c>
      <c r="N11" s="8" t="s">
        <v>151</v>
      </c>
      <c r="O11" s="8" t="s">
        <v>152</v>
      </c>
      <c r="P11" s="8" t="s">
        <v>153</v>
      </c>
      <c r="Q11" s="8" t="s">
        <v>152</v>
      </c>
      <c r="R11" s="8" t="s">
        <v>154</v>
      </c>
      <c r="S11" s="8" t="s">
        <v>155</v>
      </c>
      <c r="T11" s="8">
        <v>123.0</v>
      </c>
      <c r="U11" s="8" t="s">
        <v>156</v>
      </c>
      <c r="V11" s="8" t="s">
        <v>135</v>
      </c>
      <c r="W11" s="8"/>
      <c r="X11" s="8"/>
      <c r="Y11" s="8"/>
      <c r="Z11" s="8"/>
      <c r="AA11" s="8"/>
      <c r="AB11" s="8"/>
      <c r="AC11" s="8"/>
      <c r="AD11" s="8"/>
      <c r="AE11" s="8"/>
      <c r="AF11" s="8" t="s">
        <v>147</v>
      </c>
      <c r="AG11" s="8"/>
      <c r="AH11" s="8"/>
      <c r="AI11" s="8"/>
      <c r="AJ11" s="8"/>
      <c r="AK11" s="8"/>
      <c r="AL11" s="8"/>
      <c r="AM11" s="8"/>
      <c r="AN11" s="8"/>
      <c r="AO11" s="8"/>
      <c r="AP11" s="8" t="s">
        <v>147</v>
      </c>
      <c r="AQ11" s="8" t="s">
        <v>147</v>
      </c>
      <c r="AR11" s="8"/>
      <c r="AS11" s="8" t="s">
        <v>136</v>
      </c>
      <c r="AT11" s="8" t="s">
        <v>146</v>
      </c>
      <c r="AU11" s="8" t="s">
        <v>136</v>
      </c>
      <c r="AV11" s="8" t="s">
        <v>159</v>
      </c>
      <c r="AW11" s="8">
        <v>123.0</v>
      </c>
      <c r="AX11" s="8"/>
      <c r="AY11" s="8"/>
      <c r="AZ11" s="8"/>
      <c r="BA11" s="8"/>
      <c r="BB11" s="8" t="s">
        <v>162</v>
      </c>
      <c r="BC11" s="8"/>
      <c r="BD11" s="8"/>
      <c r="BE11" s="8" t="s">
        <v>158</v>
      </c>
      <c r="BF11" s="8" t="s">
        <v>137</v>
      </c>
      <c r="BG11" s="7">
        <v>45866.0</v>
      </c>
      <c r="BH11" s="9"/>
      <c r="BI11" s="9"/>
      <c r="BJ11" s="9"/>
      <c r="BK11" s="9"/>
      <c r="BL11" s="9"/>
      <c r="BM11" s="9"/>
      <c r="BN11" s="9"/>
      <c r="BO11" s="8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</row>
    <row r="12" ht="22.5" customHeight="1">
      <c r="A12" s="6"/>
      <c r="B12" s="6"/>
      <c r="C12" s="8"/>
      <c r="D12" s="8"/>
      <c r="E12" s="8" t="s">
        <v>136</v>
      </c>
      <c r="F12" s="7">
        <v>45865.0</v>
      </c>
      <c r="G12" s="8" t="s">
        <v>137</v>
      </c>
      <c r="H12" s="8" t="s">
        <v>135</v>
      </c>
      <c r="I12" s="7">
        <v>45874.0</v>
      </c>
      <c r="J12" s="8" t="s">
        <v>138</v>
      </c>
      <c r="K12" s="8" t="s">
        <v>139</v>
      </c>
      <c r="L12" s="8" t="s">
        <v>140</v>
      </c>
      <c r="M12" s="8">
        <v>2.50727011E8</v>
      </c>
      <c r="N12" s="8" t="s">
        <v>151</v>
      </c>
      <c r="O12" s="8" t="s">
        <v>152</v>
      </c>
      <c r="P12" s="8" t="s">
        <v>153</v>
      </c>
      <c r="Q12" s="8" t="s">
        <v>152</v>
      </c>
      <c r="R12" s="8" t="s">
        <v>154</v>
      </c>
      <c r="S12" s="8" t="s">
        <v>155</v>
      </c>
      <c r="T12" s="8">
        <v>123.0</v>
      </c>
      <c r="U12" s="8" t="s">
        <v>156</v>
      </c>
      <c r="V12" s="8" t="s">
        <v>135</v>
      </c>
      <c r="W12" s="8" t="s">
        <v>147</v>
      </c>
      <c r="X12" s="8"/>
      <c r="Y12" s="8"/>
      <c r="Z12" s="8"/>
      <c r="AA12" s="8"/>
      <c r="AB12" s="8"/>
      <c r="AC12" s="8"/>
      <c r="AD12" s="8" t="s">
        <v>147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 t="s">
        <v>147</v>
      </c>
      <c r="AP12" s="8" t="s">
        <v>147</v>
      </c>
      <c r="AQ12" s="8" t="s">
        <v>147</v>
      </c>
      <c r="AR12" s="8"/>
      <c r="AS12" s="8" t="s">
        <v>136</v>
      </c>
      <c r="AT12" s="8" t="s">
        <v>159</v>
      </c>
      <c r="AU12" s="8" t="s">
        <v>136</v>
      </c>
      <c r="AV12" s="8" t="s">
        <v>159</v>
      </c>
      <c r="AW12" s="8">
        <v>123.0</v>
      </c>
      <c r="AX12" s="8"/>
      <c r="AY12" s="8" t="s">
        <v>165</v>
      </c>
      <c r="AZ12" s="8">
        <v>123.0</v>
      </c>
      <c r="BA12" s="8"/>
      <c r="BB12" s="8"/>
      <c r="BC12" s="8"/>
      <c r="BD12" s="8"/>
      <c r="BE12" s="8" t="s">
        <v>158</v>
      </c>
      <c r="BF12" s="8" t="s">
        <v>137</v>
      </c>
      <c r="BG12" s="7">
        <v>45865.0</v>
      </c>
      <c r="BH12" s="9"/>
      <c r="BI12" s="9"/>
      <c r="BJ12" s="9"/>
      <c r="BK12" s="9"/>
      <c r="BL12" s="9"/>
      <c r="BM12" s="9"/>
      <c r="BN12" s="9"/>
      <c r="BO12" s="8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</row>
    <row r="13" ht="22.5" customHeight="1">
      <c r="A13" s="6"/>
      <c r="B13" s="6"/>
      <c r="C13" s="8"/>
      <c r="D13" s="8"/>
      <c r="E13" s="8" t="s">
        <v>136</v>
      </c>
      <c r="F13" s="7">
        <v>45865.0</v>
      </c>
      <c r="G13" s="8" t="s">
        <v>137</v>
      </c>
      <c r="H13" s="8" t="s">
        <v>135</v>
      </c>
      <c r="I13" s="7">
        <v>45874.0</v>
      </c>
      <c r="J13" s="8" t="s">
        <v>138</v>
      </c>
      <c r="K13" s="8" t="s">
        <v>139</v>
      </c>
      <c r="L13" s="8" t="s">
        <v>140</v>
      </c>
      <c r="M13" s="8">
        <v>2.50727012E8</v>
      </c>
      <c r="N13" s="8" t="s">
        <v>151</v>
      </c>
      <c r="O13" s="8" t="s">
        <v>152</v>
      </c>
      <c r="P13" s="8" t="s">
        <v>153</v>
      </c>
      <c r="Q13" s="8" t="s">
        <v>152</v>
      </c>
      <c r="R13" s="8" t="s">
        <v>154</v>
      </c>
      <c r="S13" s="8" t="s">
        <v>155</v>
      </c>
      <c r="T13" s="8">
        <v>123.0</v>
      </c>
      <c r="U13" s="8" t="s">
        <v>156</v>
      </c>
      <c r="V13" s="8" t="s">
        <v>135</v>
      </c>
      <c r="W13" s="8" t="s">
        <v>147</v>
      </c>
      <c r="X13" s="8"/>
      <c r="Y13" s="8"/>
      <c r="Z13" s="8"/>
      <c r="AA13" s="8"/>
      <c r="AB13" s="8"/>
      <c r="AC13" s="8"/>
      <c r="AD13" s="8" t="s">
        <v>147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 t="s">
        <v>147</v>
      </c>
      <c r="AP13" s="8" t="s">
        <v>147</v>
      </c>
      <c r="AQ13" s="8" t="s">
        <v>147</v>
      </c>
      <c r="AR13" s="8"/>
      <c r="AS13" s="8" t="s">
        <v>136</v>
      </c>
      <c r="AT13" s="8" t="s">
        <v>159</v>
      </c>
      <c r="AU13" s="8" t="s">
        <v>136</v>
      </c>
      <c r="AV13" s="8" t="s">
        <v>159</v>
      </c>
      <c r="AW13" s="8">
        <v>123.0</v>
      </c>
      <c r="AX13" s="8"/>
      <c r="AY13" s="8" t="s">
        <v>165</v>
      </c>
      <c r="AZ13" s="8">
        <v>123.0</v>
      </c>
      <c r="BA13" s="8"/>
      <c r="BB13" s="8"/>
      <c r="BC13" s="8"/>
      <c r="BD13" s="8"/>
      <c r="BE13" s="8" t="s">
        <v>158</v>
      </c>
      <c r="BF13" s="8" t="s">
        <v>137</v>
      </c>
      <c r="BG13" s="7">
        <v>45865.0</v>
      </c>
      <c r="BH13" s="9"/>
      <c r="BI13" s="9"/>
      <c r="BJ13" s="9"/>
      <c r="BK13" s="9"/>
      <c r="BL13" s="9"/>
      <c r="BM13" s="9"/>
      <c r="BN13" s="9"/>
      <c r="BO13" s="8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</row>
    <row r="14" ht="22.5" customHeight="1">
      <c r="A14" s="6"/>
      <c r="B14" s="6"/>
      <c r="C14" s="8"/>
      <c r="D14" s="8"/>
      <c r="E14" s="8" t="s">
        <v>136</v>
      </c>
      <c r="F14" s="7"/>
      <c r="G14" s="8" t="s">
        <v>137</v>
      </c>
      <c r="H14" s="8" t="s">
        <v>135</v>
      </c>
      <c r="I14" s="7"/>
      <c r="J14" s="8"/>
      <c r="K14" s="8"/>
      <c r="L14" s="8"/>
      <c r="M14" s="8">
        <v>2.50727013E8</v>
      </c>
      <c r="N14" s="8" t="s">
        <v>151</v>
      </c>
      <c r="O14" s="8" t="s">
        <v>152</v>
      </c>
      <c r="P14" s="8" t="s">
        <v>153</v>
      </c>
      <c r="Q14" s="8" t="s">
        <v>152</v>
      </c>
      <c r="R14" s="8" t="s">
        <v>154</v>
      </c>
      <c r="S14" s="8" t="s">
        <v>155</v>
      </c>
      <c r="T14" s="8">
        <v>123.0</v>
      </c>
      <c r="U14" s="8" t="s">
        <v>156</v>
      </c>
      <c r="V14" s="8" t="s">
        <v>135</v>
      </c>
      <c r="W14" s="8"/>
      <c r="X14" s="8"/>
      <c r="Y14" s="8"/>
      <c r="Z14" s="8"/>
      <c r="AA14" s="8"/>
      <c r="AB14" s="8"/>
      <c r="AC14" s="8"/>
      <c r="AD14" s="8" t="s">
        <v>147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>
        <v>123.0</v>
      </c>
      <c r="BA14" s="8"/>
      <c r="BB14" s="8"/>
      <c r="BC14" s="8"/>
      <c r="BD14" s="8"/>
      <c r="BE14" s="8"/>
      <c r="BF14" s="8" t="s">
        <v>137</v>
      </c>
      <c r="BG14" s="7">
        <v>45866.0</v>
      </c>
      <c r="BH14" s="9"/>
      <c r="BI14" s="9"/>
      <c r="BJ14" s="9"/>
      <c r="BK14" s="9"/>
      <c r="BL14" s="9"/>
      <c r="BM14" s="9"/>
      <c r="BN14" s="9"/>
      <c r="BO14" s="8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</row>
    <row r="15" ht="22.5" customHeight="1">
      <c r="A15" s="6"/>
      <c r="B15" s="6"/>
      <c r="C15" s="8"/>
      <c r="D15" s="8"/>
      <c r="E15" s="8" t="s">
        <v>136</v>
      </c>
      <c r="F15" s="7">
        <v>45866.0</v>
      </c>
      <c r="G15" s="8" t="s">
        <v>137</v>
      </c>
      <c r="H15" s="8" t="s">
        <v>135</v>
      </c>
      <c r="I15" s="7"/>
      <c r="J15" s="8"/>
      <c r="K15" s="8"/>
      <c r="L15" s="8"/>
      <c r="M15" s="8">
        <v>2.50727014E8</v>
      </c>
      <c r="N15" s="8" t="s">
        <v>151</v>
      </c>
      <c r="O15" s="8" t="s">
        <v>152</v>
      </c>
      <c r="P15" s="8" t="s">
        <v>153</v>
      </c>
      <c r="Q15" s="8" t="s">
        <v>152</v>
      </c>
      <c r="R15" s="8" t="s">
        <v>154</v>
      </c>
      <c r="S15" s="8" t="s">
        <v>155</v>
      </c>
      <c r="T15" s="8">
        <v>123.0</v>
      </c>
      <c r="U15" s="8" t="s">
        <v>156</v>
      </c>
      <c r="V15" s="8" t="s">
        <v>135</v>
      </c>
      <c r="W15" s="8"/>
      <c r="X15" s="8"/>
      <c r="Y15" s="8"/>
      <c r="Z15" s="8"/>
      <c r="AA15" s="8"/>
      <c r="AB15" s="8"/>
      <c r="AC15" s="8"/>
      <c r="AD15" s="8"/>
      <c r="AE15" s="8"/>
      <c r="AF15" s="8" t="s">
        <v>147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>
        <v>123.0</v>
      </c>
      <c r="BC15" s="8"/>
      <c r="BD15" s="8"/>
      <c r="BE15" s="8"/>
      <c r="BF15" s="8" t="s">
        <v>137</v>
      </c>
      <c r="BG15" s="7">
        <v>45865.0</v>
      </c>
      <c r="BH15" s="9"/>
      <c r="BI15" s="9"/>
      <c r="BJ15" s="9"/>
      <c r="BK15" s="9"/>
      <c r="BL15" s="9"/>
      <c r="BM15" s="9"/>
      <c r="BN15" s="9"/>
      <c r="BO15" s="8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</row>
    <row r="16" ht="22.5" customHeight="1">
      <c r="A16" s="6"/>
      <c r="B16" s="6"/>
      <c r="C16" s="8"/>
      <c r="D16" s="8"/>
      <c r="E16" s="8" t="s">
        <v>136</v>
      </c>
      <c r="F16" s="7">
        <v>45865.0</v>
      </c>
      <c r="G16" s="8" t="s">
        <v>137</v>
      </c>
      <c r="H16" s="8" t="s">
        <v>135</v>
      </c>
      <c r="I16" s="7">
        <v>45867.0</v>
      </c>
      <c r="J16" s="8" t="s">
        <v>138</v>
      </c>
      <c r="K16" s="8" t="s">
        <v>139</v>
      </c>
      <c r="L16" s="8" t="s">
        <v>140</v>
      </c>
      <c r="M16" s="8">
        <v>2.50727015E8</v>
      </c>
      <c r="N16" s="8" t="s">
        <v>151</v>
      </c>
      <c r="O16" s="8" t="s">
        <v>152</v>
      </c>
      <c r="P16" s="8" t="s">
        <v>153</v>
      </c>
      <c r="Q16" s="8" t="s">
        <v>152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 t="s">
        <v>147</v>
      </c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 t="s">
        <v>137</v>
      </c>
      <c r="BG16" s="7">
        <v>45867.0</v>
      </c>
      <c r="BH16" s="9"/>
      <c r="BI16" s="9"/>
      <c r="BJ16" s="9"/>
      <c r="BK16" s="9"/>
      <c r="BL16" s="9"/>
      <c r="BM16" s="9"/>
      <c r="BN16" s="9"/>
      <c r="BO16" s="8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</row>
    <row r="17" ht="22.5" customHeight="1">
      <c r="A17" s="6"/>
      <c r="B17" s="6"/>
      <c r="C17" s="8"/>
      <c r="D17" s="8"/>
      <c r="E17" s="8" t="s">
        <v>136</v>
      </c>
      <c r="F17" s="7">
        <v>45866.0</v>
      </c>
      <c r="G17" s="8" t="s">
        <v>137</v>
      </c>
      <c r="H17" s="8" t="s">
        <v>135</v>
      </c>
      <c r="I17" s="7">
        <v>45867.0</v>
      </c>
      <c r="J17" s="8" t="s">
        <v>138</v>
      </c>
      <c r="K17" s="8" t="s">
        <v>139</v>
      </c>
      <c r="L17" s="8" t="s">
        <v>140</v>
      </c>
      <c r="M17" s="8">
        <v>2.50727016E8</v>
      </c>
      <c r="N17" s="8" t="s">
        <v>151</v>
      </c>
      <c r="O17" s="8" t="s">
        <v>152</v>
      </c>
      <c r="P17" s="8" t="s">
        <v>153</v>
      </c>
      <c r="Q17" s="8" t="s">
        <v>152</v>
      </c>
      <c r="R17" s="8" t="s">
        <v>154</v>
      </c>
      <c r="S17" s="8" t="s">
        <v>155</v>
      </c>
      <c r="T17" s="8">
        <v>123.0</v>
      </c>
      <c r="U17" s="8" t="s">
        <v>156</v>
      </c>
      <c r="V17" s="8" t="s">
        <v>135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 t="s">
        <v>137</v>
      </c>
      <c r="BG17" s="7">
        <v>45865.0</v>
      </c>
      <c r="BH17" s="9"/>
      <c r="BI17" s="9"/>
      <c r="BJ17" s="9"/>
      <c r="BK17" s="9"/>
      <c r="BL17" s="9"/>
      <c r="BM17" s="9"/>
      <c r="BN17" s="9"/>
      <c r="BO17" s="8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</row>
    <row r="18" ht="22.5" customHeight="1">
      <c r="A18" s="6"/>
      <c r="B18" s="6"/>
      <c r="C18" s="8"/>
      <c r="D18" s="8"/>
      <c r="E18" s="8" t="s">
        <v>136</v>
      </c>
      <c r="F18" s="7"/>
      <c r="G18" s="8" t="s">
        <v>137</v>
      </c>
      <c r="H18" s="8" t="s">
        <v>135</v>
      </c>
      <c r="I18" s="7"/>
      <c r="J18" s="8" t="s">
        <v>138</v>
      </c>
      <c r="K18" s="8" t="s">
        <v>139</v>
      </c>
      <c r="L18" s="8" t="s">
        <v>140</v>
      </c>
      <c r="M18" s="8">
        <v>2.50727017E8</v>
      </c>
      <c r="N18" s="8"/>
      <c r="O18" s="8"/>
      <c r="P18" s="8"/>
      <c r="Q18" s="8"/>
      <c r="R18" s="8"/>
      <c r="S18" s="8"/>
      <c r="T18" s="8"/>
      <c r="U18" s="8"/>
      <c r="V18" s="8"/>
      <c r="W18" s="8" t="s">
        <v>147</v>
      </c>
      <c r="X18" s="8" t="s">
        <v>147</v>
      </c>
      <c r="Y18" s="8" t="s">
        <v>147</v>
      </c>
      <c r="Z18" s="8" t="s">
        <v>147</v>
      </c>
      <c r="AA18" s="8" t="s">
        <v>147</v>
      </c>
      <c r="AB18" s="8" t="s">
        <v>147</v>
      </c>
      <c r="AC18" s="8" t="s">
        <v>147</v>
      </c>
      <c r="AD18" s="8" t="s">
        <v>147</v>
      </c>
      <c r="AE18" s="8" t="s">
        <v>147</v>
      </c>
      <c r="AF18" s="8" t="s">
        <v>147</v>
      </c>
      <c r="AG18" s="8" t="s">
        <v>147</v>
      </c>
      <c r="AH18" s="8"/>
      <c r="AI18" s="8" t="s">
        <v>147</v>
      </c>
      <c r="AJ18" s="8" t="s">
        <v>147</v>
      </c>
      <c r="AK18" s="8" t="s">
        <v>147</v>
      </c>
      <c r="AL18" s="8" t="s">
        <v>147</v>
      </c>
      <c r="AM18" s="8" t="s">
        <v>147</v>
      </c>
      <c r="AN18" s="8" t="s">
        <v>147</v>
      </c>
      <c r="AO18" s="8" t="s">
        <v>147</v>
      </c>
      <c r="AP18" s="8" t="s">
        <v>147</v>
      </c>
      <c r="AQ18" s="8" t="s">
        <v>147</v>
      </c>
      <c r="AR18" s="8" t="s">
        <v>147</v>
      </c>
      <c r="AS18" s="8" t="s">
        <v>136</v>
      </c>
      <c r="AT18" s="8"/>
      <c r="AU18" s="8" t="s">
        <v>136</v>
      </c>
      <c r="AV18" s="8"/>
      <c r="AW18" s="8"/>
      <c r="AX18" s="8"/>
      <c r="AY18" s="8"/>
      <c r="AZ18" s="8"/>
      <c r="BA18" s="8"/>
      <c r="BB18" s="8"/>
      <c r="BC18" s="8" t="s">
        <v>136</v>
      </c>
      <c r="BD18" s="8" t="s">
        <v>136</v>
      </c>
      <c r="BE18" s="8"/>
      <c r="BF18" s="8"/>
      <c r="BG18" s="7"/>
      <c r="BH18" s="9"/>
      <c r="BI18" s="9"/>
      <c r="BJ18" s="9"/>
      <c r="BK18" s="9"/>
      <c r="BL18" s="9"/>
      <c r="BM18" s="9"/>
      <c r="BN18" s="9"/>
      <c r="BO18" s="8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</row>
    <row r="19" ht="22.5" customHeight="1">
      <c r="A19" s="6"/>
      <c r="B19" s="6"/>
      <c r="C19" s="8"/>
      <c r="D19" s="8"/>
      <c r="E19" s="8" t="s">
        <v>136</v>
      </c>
      <c r="F19" s="7"/>
      <c r="G19" s="8" t="s">
        <v>137</v>
      </c>
      <c r="H19" s="8" t="s">
        <v>135</v>
      </c>
      <c r="I19" s="7"/>
      <c r="J19" s="8" t="s">
        <v>138</v>
      </c>
      <c r="K19" s="8" t="s">
        <v>139</v>
      </c>
      <c r="L19" s="8" t="s">
        <v>140</v>
      </c>
      <c r="M19" s="8">
        <v>2.50728018E8</v>
      </c>
      <c r="N19" s="8"/>
      <c r="O19" s="8"/>
      <c r="P19" s="8"/>
      <c r="Q19" s="8"/>
      <c r="R19" s="8"/>
      <c r="S19" s="8"/>
      <c r="T19" s="8"/>
      <c r="U19" s="8"/>
      <c r="V19" s="8"/>
      <c r="W19" s="8" t="s">
        <v>147</v>
      </c>
      <c r="X19" s="8" t="s">
        <v>147</v>
      </c>
      <c r="Y19" s="8" t="s">
        <v>147</v>
      </c>
      <c r="Z19" s="8" t="s">
        <v>147</v>
      </c>
      <c r="AA19" s="8" t="s">
        <v>147</v>
      </c>
      <c r="AB19" s="8" t="s">
        <v>147</v>
      </c>
      <c r="AC19" s="8" t="s">
        <v>147</v>
      </c>
      <c r="AD19" s="8" t="s">
        <v>147</v>
      </c>
      <c r="AE19" s="8" t="s">
        <v>147</v>
      </c>
      <c r="AF19" s="8" t="s">
        <v>147</v>
      </c>
      <c r="AG19" s="8" t="s">
        <v>147</v>
      </c>
      <c r="AH19" s="8"/>
      <c r="AI19" s="8" t="s">
        <v>147</v>
      </c>
      <c r="AJ19" s="8" t="s">
        <v>147</v>
      </c>
      <c r="AK19" s="8" t="s">
        <v>147</v>
      </c>
      <c r="AL19" s="8" t="s">
        <v>147</v>
      </c>
      <c r="AM19" s="8" t="s">
        <v>147</v>
      </c>
      <c r="AN19" s="8" t="s">
        <v>147</v>
      </c>
      <c r="AO19" s="8" t="s">
        <v>147</v>
      </c>
      <c r="AP19" s="8" t="s">
        <v>147</v>
      </c>
      <c r="AQ19" s="8" t="s">
        <v>147</v>
      </c>
      <c r="AR19" s="8" t="s">
        <v>147</v>
      </c>
      <c r="AS19" s="8" t="s">
        <v>136</v>
      </c>
      <c r="AT19" s="8"/>
      <c r="AU19" s="8" t="s">
        <v>136</v>
      </c>
      <c r="AV19" s="8"/>
      <c r="AW19" s="8"/>
      <c r="AX19" s="8"/>
      <c r="AY19" s="8"/>
      <c r="AZ19" s="8"/>
      <c r="BA19" s="8"/>
      <c r="BB19" s="8"/>
      <c r="BC19" s="8" t="s">
        <v>136</v>
      </c>
      <c r="BD19" s="8" t="s">
        <v>136</v>
      </c>
      <c r="BE19" s="8"/>
      <c r="BF19" s="8" t="s">
        <v>137</v>
      </c>
      <c r="BG19" s="7">
        <v>45866.0</v>
      </c>
      <c r="BH19" s="9"/>
      <c r="BI19" s="9"/>
      <c r="BJ19" s="9"/>
      <c r="BK19" s="9"/>
      <c r="BL19" s="9"/>
      <c r="BM19" s="9"/>
      <c r="BN19" s="9"/>
      <c r="BO19" s="8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</row>
    <row r="20" ht="22.5" customHeight="1">
      <c r="A20" s="6"/>
      <c r="B20" s="6"/>
      <c r="C20" s="8"/>
      <c r="D20" s="8"/>
      <c r="E20" s="8" t="s">
        <v>136</v>
      </c>
      <c r="F20" s="7">
        <v>45866.0</v>
      </c>
      <c r="G20" s="8" t="s">
        <v>137</v>
      </c>
      <c r="H20" s="8" t="s">
        <v>135</v>
      </c>
      <c r="I20" s="7">
        <v>45874.0</v>
      </c>
      <c r="J20" s="8" t="s">
        <v>138</v>
      </c>
      <c r="K20" s="8" t="s">
        <v>139</v>
      </c>
      <c r="L20" s="8" t="s">
        <v>140</v>
      </c>
      <c r="M20" s="8">
        <v>2.50728019E8</v>
      </c>
      <c r="N20" s="8" t="s">
        <v>151</v>
      </c>
      <c r="O20" s="8" t="s">
        <v>152</v>
      </c>
      <c r="P20" s="8" t="s">
        <v>153</v>
      </c>
      <c r="Q20" s="8" t="s">
        <v>152</v>
      </c>
      <c r="R20" s="8" t="s">
        <v>154</v>
      </c>
      <c r="S20" s="8" t="s">
        <v>155</v>
      </c>
      <c r="T20" s="8">
        <v>123.0</v>
      </c>
      <c r="U20" s="8" t="s">
        <v>156</v>
      </c>
      <c r="V20" s="8" t="s">
        <v>135</v>
      </c>
      <c r="W20" s="8" t="s">
        <v>147</v>
      </c>
      <c r="X20" s="8" t="s">
        <v>164</v>
      </c>
      <c r="Y20" s="8" t="s">
        <v>147</v>
      </c>
      <c r="Z20" s="8" t="s">
        <v>147</v>
      </c>
      <c r="AA20" s="8" t="s">
        <v>164</v>
      </c>
      <c r="AB20" s="8" t="s">
        <v>164</v>
      </c>
      <c r="AC20" s="8" t="s">
        <v>147</v>
      </c>
      <c r="AD20" s="8" t="s">
        <v>164</v>
      </c>
      <c r="AE20" s="8" t="s">
        <v>164</v>
      </c>
      <c r="AF20" s="8" t="s">
        <v>147</v>
      </c>
      <c r="AG20" s="8"/>
      <c r="AH20" s="8"/>
      <c r="AI20" s="8"/>
      <c r="AJ20" s="8"/>
      <c r="AK20" s="8"/>
      <c r="AL20" s="8" t="s">
        <v>147</v>
      </c>
      <c r="AM20" s="8" t="s">
        <v>164</v>
      </c>
      <c r="AN20" s="8" t="s">
        <v>164</v>
      </c>
      <c r="AO20" s="8" t="s">
        <v>164</v>
      </c>
      <c r="AP20" s="8" t="s">
        <v>147</v>
      </c>
      <c r="AQ20" s="8" t="s">
        <v>147</v>
      </c>
      <c r="AR20" s="8" t="s">
        <v>164</v>
      </c>
      <c r="AS20" s="8" t="s">
        <v>136</v>
      </c>
      <c r="AT20" s="8" t="s">
        <v>159</v>
      </c>
      <c r="AU20" s="8" t="s">
        <v>136</v>
      </c>
      <c r="AV20" s="8" t="s">
        <v>159</v>
      </c>
      <c r="AW20" s="8">
        <v>123.0</v>
      </c>
      <c r="AX20" s="8" t="s">
        <v>162</v>
      </c>
      <c r="AY20" s="8"/>
      <c r="AZ20" s="8"/>
      <c r="BA20" s="8"/>
      <c r="BB20" s="8" t="s">
        <v>166</v>
      </c>
      <c r="BC20" s="8" t="s">
        <v>136</v>
      </c>
      <c r="BD20" s="8" t="s">
        <v>136</v>
      </c>
      <c r="BE20" s="8" t="s">
        <v>158</v>
      </c>
      <c r="BF20" s="8" t="s">
        <v>137</v>
      </c>
      <c r="BG20" s="7">
        <v>45866.0</v>
      </c>
      <c r="BH20" s="9"/>
      <c r="BI20" s="9"/>
      <c r="BJ20" s="9"/>
      <c r="BK20" s="9"/>
      <c r="BL20" s="9"/>
      <c r="BM20" s="9"/>
      <c r="BN20" s="9"/>
      <c r="BO20" s="8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</row>
    <row r="21" ht="22.5" customHeight="1">
      <c r="A21" s="6"/>
      <c r="B21" s="6"/>
      <c r="C21" s="8"/>
      <c r="D21" s="8"/>
      <c r="E21" s="8" t="s">
        <v>136</v>
      </c>
      <c r="F21" s="7">
        <v>45866.0</v>
      </c>
      <c r="G21" s="8" t="s">
        <v>137</v>
      </c>
      <c r="H21" s="8" t="s">
        <v>135</v>
      </c>
      <c r="I21" s="7"/>
      <c r="J21" s="8" t="s">
        <v>138</v>
      </c>
      <c r="K21" s="8" t="s">
        <v>139</v>
      </c>
      <c r="L21" s="8" t="s">
        <v>150</v>
      </c>
      <c r="M21" s="8">
        <v>2.5072802E8</v>
      </c>
      <c r="N21" s="8" t="s">
        <v>151</v>
      </c>
      <c r="O21" s="8" t="s">
        <v>152</v>
      </c>
      <c r="P21" s="8" t="s">
        <v>153</v>
      </c>
      <c r="Q21" s="8" t="s">
        <v>152</v>
      </c>
      <c r="R21" s="8" t="s">
        <v>154</v>
      </c>
      <c r="S21" s="8" t="s">
        <v>155</v>
      </c>
      <c r="T21" s="8">
        <v>123.0</v>
      </c>
      <c r="U21" s="8" t="s">
        <v>156</v>
      </c>
      <c r="V21" s="8" t="s">
        <v>135</v>
      </c>
      <c r="W21" s="8"/>
      <c r="X21" s="8" t="s">
        <v>147</v>
      </c>
      <c r="Y21" s="8" t="s">
        <v>147</v>
      </c>
      <c r="Z21" s="8"/>
      <c r="AA21" s="8"/>
      <c r="AB21" s="8" t="s">
        <v>147</v>
      </c>
      <c r="AC21" s="8"/>
      <c r="AD21" s="8"/>
      <c r="AE21" s="8"/>
      <c r="AF21" s="8" t="s">
        <v>147</v>
      </c>
      <c r="AG21" s="8"/>
      <c r="AH21" s="8"/>
      <c r="AI21" s="8"/>
      <c r="AJ21" s="8"/>
      <c r="AK21" s="8"/>
      <c r="AL21" s="8" t="s">
        <v>147</v>
      </c>
      <c r="AM21" s="8"/>
      <c r="AN21" s="8" t="s">
        <v>147</v>
      </c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 t="s">
        <v>161</v>
      </c>
      <c r="BC21" s="8" t="s">
        <v>136</v>
      </c>
      <c r="BD21" s="8" t="s">
        <v>136</v>
      </c>
      <c r="BE21" s="8"/>
      <c r="BF21" s="8" t="s">
        <v>137</v>
      </c>
      <c r="BG21" s="7">
        <v>45866.0</v>
      </c>
      <c r="BH21" s="9"/>
      <c r="BI21" s="9"/>
      <c r="BJ21" s="9"/>
      <c r="BK21" s="9"/>
      <c r="BL21" s="9"/>
      <c r="BM21" s="9"/>
      <c r="BN21" s="9"/>
      <c r="BO21" s="8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</row>
    <row r="22" ht="22.5" customHeight="1">
      <c r="A22" s="6"/>
      <c r="B22" s="6"/>
      <c r="C22" s="8"/>
      <c r="D22" s="8"/>
      <c r="E22" s="8" t="s">
        <v>136</v>
      </c>
      <c r="F22" s="7">
        <v>45866.0</v>
      </c>
      <c r="G22" s="8" t="s">
        <v>137</v>
      </c>
      <c r="H22" s="8" t="s">
        <v>135</v>
      </c>
      <c r="I22" s="7">
        <v>45866.0</v>
      </c>
      <c r="J22" s="8" t="s">
        <v>138</v>
      </c>
      <c r="K22" s="8" t="s">
        <v>139</v>
      </c>
      <c r="L22" s="8" t="s">
        <v>150</v>
      </c>
      <c r="M22" s="8">
        <v>2.50728021E8</v>
      </c>
      <c r="N22" s="8" t="s">
        <v>151</v>
      </c>
      <c r="O22" s="8" t="s">
        <v>152</v>
      </c>
      <c r="P22" s="8" t="s">
        <v>153</v>
      </c>
      <c r="Q22" s="8" t="s">
        <v>152</v>
      </c>
      <c r="R22" s="8" t="s">
        <v>154</v>
      </c>
      <c r="S22" s="8" t="s">
        <v>155</v>
      </c>
      <c r="T22" s="8">
        <v>123.0</v>
      </c>
      <c r="U22" s="8" t="s">
        <v>156</v>
      </c>
      <c r="V22" s="8" t="s">
        <v>135</v>
      </c>
      <c r="W22" s="8"/>
      <c r="X22" s="8"/>
      <c r="Y22" s="8"/>
      <c r="Z22" s="8"/>
      <c r="AA22" s="8"/>
      <c r="AB22" s="8" t="s">
        <v>147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 t="s">
        <v>147</v>
      </c>
      <c r="AP22" s="8"/>
      <c r="AQ22" s="8"/>
      <c r="AR22" s="8"/>
      <c r="AS22" s="8"/>
      <c r="AT22" s="8"/>
      <c r="AU22" s="8"/>
      <c r="AV22" s="8"/>
      <c r="AW22" s="8"/>
      <c r="AX22" s="8"/>
      <c r="AY22" s="8" t="s">
        <v>161</v>
      </c>
      <c r="AZ22" s="8"/>
      <c r="BA22" s="8"/>
      <c r="BB22" s="8"/>
      <c r="BC22" s="8"/>
      <c r="BD22" s="8"/>
      <c r="BE22" s="8"/>
      <c r="BF22" s="8" t="s">
        <v>137</v>
      </c>
      <c r="BG22" s="7">
        <v>45866.0</v>
      </c>
      <c r="BH22" s="9"/>
      <c r="BI22" s="9"/>
      <c r="BJ22" s="9"/>
      <c r="BK22" s="9"/>
      <c r="BL22" s="9"/>
      <c r="BM22" s="9"/>
      <c r="BN22" s="9"/>
      <c r="BO22" s="8" t="s">
        <v>167</v>
      </c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</row>
    <row r="23" ht="22.5" customHeight="1">
      <c r="A23" s="6"/>
      <c r="B23" s="6"/>
      <c r="C23" s="8"/>
      <c r="D23" s="8"/>
      <c r="E23" s="8" t="s">
        <v>136</v>
      </c>
      <c r="F23" s="7">
        <v>45866.0</v>
      </c>
      <c r="G23" s="8" t="s">
        <v>137</v>
      </c>
      <c r="H23" s="8" t="s">
        <v>135</v>
      </c>
      <c r="I23" s="7">
        <v>45874.0</v>
      </c>
      <c r="J23" s="8" t="s">
        <v>138</v>
      </c>
      <c r="K23" s="8" t="s">
        <v>139</v>
      </c>
      <c r="L23" s="8" t="s">
        <v>150</v>
      </c>
      <c r="M23" s="8">
        <v>2.50728022E8</v>
      </c>
      <c r="N23" s="8" t="s">
        <v>151</v>
      </c>
      <c r="O23" s="8" t="s">
        <v>152</v>
      </c>
      <c r="P23" s="8" t="s">
        <v>153</v>
      </c>
      <c r="Q23" s="8" t="s">
        <v>152</v>
      </c>
      <c r="R23" s="8" t="s">
        <v>154</v>
      </c>
      <c r="S23" s="8" t="s">
        <v>155</v>
      </c>
      <c r="T23" s="8">
        <v>123.0</v>
      </c>
      <c r="U23" s="8" t="s">
        <v>156</v>
      </c>
      <c r="V23" s="8" t="s">
        <v>135</v>
      </c>
      <c r="W23" s="8"/>
      <c r="X23" s="8"/>
      <c r="Y23" s="8"/>
      <c r="Z23" s="8"/>
      <c r="AA23" s="8"/>
      <c r="AB23" s="8"/>
      <c r="AC23" s="8"/>
      <c r="AD23" s="8"/>
      <c r="AE23" s="8"/>
      <c r="AF23" s="8" t="s">
        <v>147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>
        <v>123.0</v>
      </c>
      <c r="BC23" s="8"/>
      <c r="BD23" s="8"/>
      <c r="BE23" s="8"/>
      <c r="BF23" s="8" t="s">
        <v>137</v>
      </c>
      <c r="BG23" s="7">
        <v>45866.0</v>
      </c>
      <c r="BH23" s="9"/>
      <c r="BI23" s="9"/>
      <c r="BJ23" s="9"/>
      <c r="BK23" s="9"/>
      <c r="BL23" s="9"/>
      <c r="BM23" s="9"/>
      <c r="BN23" s="9"/>
      <c r="BO23" s="8" t="s">
        <v>168</v>
      </c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</row>
    <row r="24" ht="22.5" customHeight="1">
      <c r="A24" s="6"/>
      <c r="B24" s="6"/>
      <c r="C24" s="8"/>
      <c r="D24" s="8"/>
      <c r="E24" s="8" t="s">
        <v>136</v>
      </c>
      <c r="F24" s="7">
        <v>45866.0</v>
      </c>
      <c r="G24" s="8" t="s">
        <v>137</v>
      </c>
      <c r="H24" s="8" t="s">
        <v>135</v>
      </c>
      <c r="I24" s="7">
        <v>45866.0</v>
      </c>
      <c r="J24" s="8" t="s">
        <v>138</v>
      </c>
      <c r="K24" s="8" t="s">
        <v>139</v>
      </c>
      <c r="L24" s="8" t="s">
        <v>150</v>
      </c>
      <c r="M24" s="8">
        <v>2.50728023E8</v>
      </c>
      <c r="N24" s="8" t="s">
        <v>151</v>
      </c>
      <c r="O24" s="8" t="s">
        <v>152</v>
      </c>
      <c r="P24" s="8" t="s">
        <v>153</v>
      </c>
      <c r="Q24" s="8" t="s">
        <v>152</v>
      </c>
      <c r="R24" s="8" t="s">
        <v>154</v>
      </c>
      <c r="S24" s="8" t="s">
        <v>155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 t="s">
        <v>137</v>
      </c>
      <c r="BG24" s="7">
        <v>45866.0</v>
      </c>
      <c r="BH24" s="9"/>
      <c r="BI24" s="9"/>
      <c r="BJ24" s="9"/>
      <c r="BK24" s="9"/>
      <c r="BL24" s="9"/>
      <c r="BM24" s="9"/>
      <c r="BN24" s="9"/>
      <c r="BO24" s="8" t="s">
        <v>169</v>
      </c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</row>
    <row r="25" ht="22.5" customHeight="1">
      <c r="A25" s="6"/>
      <c r="B25" s="6"/>
      <c r="C25" s="8"/>
      <c r="D25" s="8"/>
      <c r="E25" s="8" t="s">
        <v>136</v>
      </c>
      <c r="F25" s="7">
        <v>45866.0</v>
      </c>
      <c r="G25" s="8" t="s">
        <v>137</v>
      </c>
      <c r="H25" s="8" t="s">
        <v>135</v>
      </c>
      <c r="I25" s="7">
        <v>45874.0</v>
      </c>
      <c r="J25" s="8" t="s">
        <v>138</v>
      </c>
      <c r="K25" s="8" t="s">
        <v>139</v>
      </c>
      <c r="L25" s="8" t="s">
        <v>150</v>
      </c>
      <c r="M25" s="8">
        <v>2.50728024E8</v>
      </c>
      <c r="N25" s="8" t="s">
        <v>151</v>
      </c>
      <c r="O25" s="8" t="s">
        <v>152</v>
      </c>
      <c r="P25" s="8" t="s">
        <v>153</v>
      </c>
      <c r="Q25" s="8" t="s">
        <v>152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 t="s">
        <v>137</v>
      </c>
      <c r="BG25" s="7">
        <v>45866.0</v>
      </c>
      <c r="BH25" s="9"/>
      <c r="BI25" s="9"/>
      <c r="BJ25" s="9"/>
      <c r="BK25" s="9"/>
      <c r="BL25" s="9"/>
      <c r="BM25" s="9"/>
      <c r="BN25" s="9"/>
      <c r="BO25" s="8" t="s">
        <v>170</v>
      </c>
      <c r="BP25" s="8" t="s">
        <v>171</v>
      </c>
      <c r="BQ25" s="8">
        <v>123.0</v>
      </c>
      <c r="BR25" s="8"/>
      <c r="BS25" s="8"/>
      <c r="BT25" s="8"/>
      <c r="BU25" s="7"/>
      <c r="BV25" s="7"/>
      <c r="BW25" s="7">
        <v>45866.0</v>
      </c>
      <c r="BX25" s="8"/>
      <c r="BY25" s="8" t="s">
        <v>172</v>
      </c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</row>
    <row r="26" ht="22.5" customHeight="1">
      <c r="A26" s="6"/>
      <c r="B26" s="6"/>
      <c r="C26" s="8"/>
      <c r="D26" s="8"/>
      <c r="E26" s="8" t="s">
        <v>136</v>
      </c>
      <c r="F26" s="7">
        <v>45866.0</v>
      </c>
      <c r="G26" s="8" t="s">
        <v>137</v>
      </c>
      <c r="H26" s="8" t="s">
        <v>135</v>
      </c>
      <c r="I26" s="7">
        <v>45874.0</v>
      </c>
      <c r="J26" s="8" t="s">
        <v>138</v>
      </c>
      <c r="K26" s="8" t="s">
        <v>139</v>
      </c>
      <c r="L26" s="8" t="s">
        <v>140</v>
      </c>
      <c r="M26" s="8">
        <v>2.50728025E8</v>
      </c>
      <c r="N26" s="8" t="s">
        <v>151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7">
        <v>45866.0</v>
      </c>
      <c r="BH26" s="9"/>
      <c r="BI26" s="9"/>
      <c r="BJ26" s="9"/>
      <c r="BK26" s="9"/>
      <c r="BL26" s="9"/>
      <c r="BM26" s="9"/>
      <c r="BN26" s="9"/>
      <c r="BO26" s="8" t="s">
        <v>173</v>
      </c>
      <c r="BP26" s="8" t="s">
        <v>171</v>
      </c>
      <c r="BQ26" s="8">
        <v>123.0</v>
      </c>
      <c r="BR26" s="8"/>
      <c r="BS26" s="8"/>
      <c r="BT26" s="8"/>
      <c r="BU26" s="7"/>
      <c r="BV26" s="7"/>
      <c r="BW26" s="7">
        <v>45866.0</v>
      </c>
      <c r="BX26" s="8"/>
      <c r="BY26" s="8" t="s">
        <v>172</v>
      </c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</row>
    <row r="27" ht="22.5" customHeight="1">
      <c r="A27" s="6"/>
      <c r="B27" s="6"/>
      <c r="C27" s="8"/>
      <c r="D27" s="8"/>
      <c r="E27" s="8" t="s">
        <v>136</v>
      </c>
      <c r="F27" s="7">
        <v>45866.0</v>
      </c>
      <c r="G27" s="8" t="s">
        <v>137</v>
      </c>
      <c r="H27" s="8" t="s">
        <v>135</v>
      </c>
      <c r="I27" s="7">
        <v>45866.0</v>
      </c>
      <c r="J27" s="8" t="s">
        <v>138</v>
      </c>
      <c r="K27" s="8" t="s">
        <v>139</v>
      </c>
      <c r="L27" s="8" t="s">
        <v>150</v>
      </c>
      <c r="M27" s="8">
        <v>2.50728026E8</v>
      </c>
      <c r="N27" s="8" t="s">
        <v>151</v>
      </c>
      <c r="O27" s="8" t="s">
        <v>152</v>
      </c>
      <c r="P27" s="8" t="s">
        <v>153</v>
      </c>
      <c r="Q27" s="8" t="s">
        <v>152</v>
      </c>
      <c r="R27" s="8" t="s">
        <v>154</v>
      </c>
      <c r="S27" s="8" t="s">
        <v>155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 t="s">
        <v>137</v>
      </c>
      <c r="BG27" s="7"/>
      <c r="BH27" s="9"/>
      <c r="BI27" s="9"/>
      <c r="BJ27" s="9"/>
      <c r="BK27" s="9"/>
      <c r="BL27" s="9"/>
      <c r="BM27" s="9"/>
      <c r="BN27" s="9"/>
      <c r="BO27" s="8" t="s">
        <v>174</v>
      </c>
      <c r="BP27" s="8" t="s">
        <v>171</v>
      </c>
      <c r="BQ27" s="8">
        <v>123.0</v>
      </c>
      <c r="BR27" s="8"/>
      <c r="BS27" s="8"/>
      <c r="BT27" s="8"/>
      <c r="BU27" s="7"/>
      <c r="BV27" s="7"/>
      <c r="BW27" s="7">
        <v>45866.0</v>
      </c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</row>
    <row r="28" ht="22.5" customHeight="1">
      <c r="A28" s="6"/>
      <c r="B28" s="6"/>
      <c r="C28" s="8"/>
      <c r="D28" s="8"/>
      <c r="E28" s="8" t="s">
        <v>136</v>
      </c>
      <c r="F28" s="7">
        <v>45866.0</v>
      </c>
      <c r="G28" s="8"/>
      <c r="H28" s="8"/>
      <c r="I28" s="7"/>
      <c r="J28" s="8"/>
      <c r="K28" s="8"/>
      <c r="L28" s="8"/>
      <c r="M28" s="8">
        <v>2.50728027E8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7"/>
      <c r="BH28" s="9"/>
      <c r="BI28" s="9"/>
      <c r="BJ28" s="9"/>
      <c r="BK28" s="9"/>
      <c r="BL28" s="9"/>
      <c r="BM28" s="9"/>
      <c r="BN28" s="9"/>
      <c r="BO28" s="8" t="s">
        <v>175</v>
      </c>
      <c r="BP28" s="8" t="s">
        <v>171</v>
      </c>
      <c r="BQ28" s="8">
        <v>123.0</v>
      </c>
      <c r="BR28" s="8"/>
      <c r="BS28" s="8"/>
      <c r="BT28" s="8"/>
      <c r="BU28" s="7"/>
      <c r="BV28" s="7"/>
      <c r="BW28" s="7">
        <v>45866.0</v>
      </c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</row>
    <row r="29" ht="22.5" customHeight="1">
      <c r="A29" s="6"/>
      <c r="B29" s="6"/>
      <c r="C29" s="8"/>
      <c r="D29" s="8"/>
      <c r="E29" s="8" t="s">
        <v>136</v>
      </c>
      <c r="F29" s="7">
        <v>45866.0</v>
      </c>
      <c r="G29" s="8" t="s">
        <v>137</v>
      </c>
      <c r="H29" s="8"/>
      <c r="I29" s="7"/>
      <c r="J29" s="8"/>
      <c r="K29" s="8"/>
      <c r="L29" s="8"/>
      <c r="M29" s="8">
        <v>2.50728028E8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7"/>
      <c r="BH29" s="9"/>
      <c r="BI29" s="9"/>
      <c r="BJ29" s="9"/>
      <c r="BK29" s="9"/>
      <c r="BL29" s="9"/>
      <c r="BM29" s="9"/>
      <c r="BN29" s="9"/>
      <c r="BO29" s="8" t="s">
        <v>176</v>
      </c>
      <c r="BP29" s="8" t="s">
        <v>171</v>
      </c>
      <c r="BQ29" s="8">
        <v>123.0</v>
      </c>
      <c r="BR29" s="8"/>
      <c r="BS29" s="8"/>
      <c r="BT29" s="8"/>
      <c r="BU29" s="7"/>
      <c r="BV29" s="7"/>
      <c r="BW29" s="7">
        <v>45866.0</v>
      </c>
      <c r="BX29" s="8"/>
      <c r="BY29" s="8" t="s">
        <v>172</v>
      </c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</row>
    <row r="30" ht="22.5" customHeight="1">
      <c r="A30" s="6"/>
      <c r="B30" s="6"/>
      <c r="C30" s="8"/>
      <c r="D30" s="8"/>
      <c r="E30" s="8" t="s">
        <v>136</v>
      </c>
      <c r="F30" s="7">
        <v>45866.0</v>
      </c>
      <c r="G30" s="8"/>
      <c r="H30" s="8"/>
      <c r="I30" s="7"/>
      <c r="J30" s="8"/>
      <c r="K30" s="8"/>
      <c r="L30" s="8"/>
      <c r="M30" s="8">
        <v>2.50728029E8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7"/>
      <c r="BH30" s="9"/>
      <c r="BI30" s="9"/>
      <c r="BJ30" s="9"/>
      <c r="BK30" s="9"/>
      <c r="BL30" s="9"/>
      <c r="BM30" s="9"/>
      <c r="BN30" s="9"/>
      <c r="BO30" s="8" t="s">
        <v>177</v>
      </c>
      <c r="BP30" s="8"/>
      <c r="BQ30" s="8"/>
      <c r="BR30" s="8"/>
      <c r="BS30" s="8"/>
      <c r="BT30" s="8"/>
      <c r="BU30" s="7"/>
      <c r="BV30" s="7"/>
      <c r="BW30" s="7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</row>
    <row r="31" ht="22.5" customHeight="1">
      <c r="A31" s="6"/>
      <c r="B31" s="6"/>
      <c r="C31" s="8"/>
      <c r="D31" s="8"/>
      <c r="E31" s="8" t="s">
        <v>136</v>
      </c>
      <c r="F31" s="7">
        <v>45866.0</v>
      </c>
      <c r="G31" s="8" t="s">
        <v>137</v>
      </c>
      <c r="H31" s="8"/>
      <c r="I31" s="7"/>
      <c r="J31" s="8"/>
      <c r="K31" s="8"/>
      <c r="L31" s="8"/>
      <c r="M31" s="8">
        <v>2.5072803E8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7"/>
      <c r="BH31" s="9"/>
      <c r="BI31" s="9"/>
      <c r="BJ31" s="9"/>
      <c r="BK31" s="9"/>
      <c r="BL31" s="9"/>
      <c r="BM31" s="9"/>
      <c r="BN31" s="9"/>
      <c r="BO31" s="8" t="s">
        <v>178</v>
      </c>
      <c r="BP31" s="8"/>
      <c r="BQ31" s="8"/>
      <c r="BR31" s="8"/>
      <c r="BS31" s="8"/>
      <c r="BT31" s="8"/>
      <c r="BU31" s="7"/>
      <c r="BV31" s="7"/>
      <c r="BW31" s="7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</row>
    <row r="32" ht="22.5" customHeight="1">
      <c r="A32" s="6"/>
      <c r="B32" s="6"/>
      <c r="C32" s="8"/>
      <c r="D32" s="8"/>
      <c r="E32" s="8" t="s">
        <v>136</v>
      </c>
      <c r="F32" s="7">
        <v>45866.0</v>
      </c>
      <c r="G32" s="8" t="s">
        <v>137</v>
      </c>
      <c r="H32" s="8" t="s">
        <v>135</v>
      </c>
      <c r="I32" s="7">
        <v>45866.0</v>
      </c>
      <c r="J32" s="8" t="s">
        <v>138</v>
      </c>
      <c r="K32" s="8" t="s">
        <v>139</v>
      </c>
      <c r="L32" s="8" t="s">
        <v>140</v>
      </c>
      <c r="M32" s="8">
        <v>2.50728031E8</v>
      </c>
      <c r="N32" s="8" t="s">
        <v>151</v>
      </c>
      <c r="O32" s="8" t="s">
        <v>152</v>
      </c>
      <c r="P32" s="8" t="s">
        <v>153</v>
      </c>
      <c r="Q32" s="8" t="s">
        <v>152</v>
      </c>
      <c r="R32" s="8"/>
      <c r="S32" s="8"/>
      <c r="T32" s="8"/>
      <c r="U32" s="8" t="s">
        <v>156</v>
      </c>
      <c r="V32" s="8" t="s">
        <v>135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 t="s">
        <v>137</v>
      </c>
      <c r="BG32" s="7">
        <v>45866.0</v>
      </c>
      <c r="BH32" s="9"/>
      <c r="BI32" s="9"/>
      <c r="BJ32" s="9"/>
      <c r="BK32" s="9"/>
      <c r="BL32" s="9"/>
      <c r="BM32" s="9"/>
      <c r="BN32" s="9"/>
      <c r="BO32" s="8" t="s">
        <v>179</v>
      </c>
      <c r="BP32" s="8" t="s">
        <v>171</v>
      </c>
      <c r="BQ32" s="8">
        <v>123.0</v>
      </c>
      <c r="BR32" s="8"/>
      <c r="BS32" s="8"/>
      <c r="BT32" s="8"/>
      <c r="BU32" s="7"/>
      <c r="BV32" s="7"/>
      <c r="BW32" s="7">
        <v>45866.0</v>
      </c>
      <c r="BX32" s="8" t="s">
        <v>180</v>
      </c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</row>
    <row r="33" ht="22.5" customHeight="1">
      <c r="A33" s="6"/>
      <c r="B33" s="6"/>
      <c r="C33" s="8"/>
      <c r="D33" s="8"/>
      <c r="E33" s="8" t="s">
        <v>136</v>
      </c>
      <c r="F33" s="7">
        <v>45866.0</v>
      </c>
      <c r="G33" s="8" t="s">
        <v>137</v>
      </c>
      <c r="H33" s="8" t="s">
        <v>135</v>
      </c>
      <c r="I33" s="7">
        <v>45866.0</v>
      </c>
      <c r="J33" s="8" t="s">
        <v>138</v>
      </c>
      <c r="K33" s="8" t="s">
        <v>139</v>
      </c>
      <c r="L33" s="8" t="s">
        <v>140</v>
      </c>
      <c r="M33" s="8">
        <v>2.50728032E8</v>
      </c>
      <c r="N33" s="8" t="s">
        <v>151</v>
      </c>
      <c r="O33" s="8" t="s">
        <v>152</v>
      </c>
      <c r="P33" s="8" t="s">
        <v>153</v>
      </c>
      <c r="Q33" s="8" t="s">
        <v>152</v>
      </c>
      <c r="R33" s="8" t="s">
        <v>154</v>
      </c>
      <c r="S33" s="8" t="s">
        <v>155</v>
      </c>
      <c r="T33" s="8">
        <v>123.0</v>
      </c>
      <c r="U33" s="8" t="s">
        <v>156</v>
      </c>
      <c r="V33" s="8" t="s">
        <v>135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 t="s">
        <v>147</v>
      </c>
      <c r="AQ33" s="8"/>
      <c r="AR33" s="8"/>
      <c r="AS33" s="8"/>
      <c r="AT33" s="8"/>
      <c r="AU33" s="8" t="s">
        <v>136</v>
      </c>
      <c r="AV33" s="8" t="s">
        <v>159</v>
      </c>
      <c r="AW33" s="8">
        <v>123.0</v>
      </c>
      <c r="AX33" s="8"/>
      <c r="AY33" s="8"/>
      <c r="AZ33" s="8"/>
      <c r="BA33" s="8"/>
      <c r="BB33" s="8"/>
      <c r="BC33" s="8"/>
      <c r="BD33" s="8"/>
      <c r="BE33" s="8"/>
      <c r="BF33" s="8" t="s">
        <v>137</v>
      </c>
      <c r="BG33" s="7">
        <v>45866.0</v>
      </c>
      <c r="BH33" s="9"/>
      <c r="BI33" s="9"/>
      <c r="BJ33" s="9"/>
      <c r="BK33" s="9"/>
      <c r="BL33" s="9"/>
      <c r="BM33" s="9"/>
      <c r="BN33" s="9"/>
      <c r="BO33" s="8" t="s">
        <v>181</v>
      </c>
      <c r="BP33" s="8" t="s">
        <v>171</v>
      </c>
      <c r="BQ33" s="8">
        <v>123.0</v>
      </c>
      <c r="BR33" s="8"/>
      <c r="BS33" s="8"/>
      <c r="BT33" s="8"/>
      <c r="BU33" s="7"/>
      <c r="BV33" s="7"/>
      <c r="BW33" s="7">
        <v>45866.0</v>
      </c>
      <c r="BX33" s="8" t="s">
        <v>180</v>
      </c>
      <c r="BY33" s="8" t="s">
        <v>172</v>
      </c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</row>
    <row r="34" ht="22.5" customHeight="1">
      <c r="A34" s="6"/>
      <c r="B34" s="6"/>
      <c r="C34" s="8"/>
      <c r="D34" s="8"/>
      <c r="E34" s="8" t="s">
        <v>136</v>
      </c>
      <c r="F34" s="7">
        <v>45866.0</v>
      </c>
      <c r="G34" s="8" t="s">
        <v>137</v>
      </c>
      <c r="H34" s="8" t="s">
        <v>135</v>
      </c>
      <c r="I34" s="7">
        <v>45875.0</v>
      </c>
      <c r="J34" s="8" t="s">
        <v>138</v>
      </c>
      <c r="K34" s="8" t="s">
        <v>139</v>
      </c>
      <c r="L34" s="8" t="s">
        <v>150</v>
      </c>
      <c r="M34" s="8">
        <v>2.50728033E8</v>
      </c>
      <c r="N34" s="8" t="s">
        <v>151</v>
      </c>
      <c r="O34" s="8" t="s">
        <v>152</v>
      </c>
      <c r="P34" s="8" t="s">
        <v>153</v>
      </c>
      <c r="Q34" s="8" t="s">
        <v>152</v>
      </c>
      <c r="R34" s="8" t="s">
        <v>154</v>
      </c>
      <c r="S34" s="8" t="s">
        <v>155</v>
      </c>
      <c r="T34" s="8">
        <v>123.0</v>
      </c>
      <c r="U34" s="8" t="s">
        <v>156</v>
      </c>
      <c r="V34" s="8" t="s">
        <v>135</v>
      </c>
      <c r="W34" s="8" t="s">
        <v>147</v>
      </c>
      <c r="X34" s="8"/>
      <c r="Y34" s="8"/>
      <c r="Z34" s="8" t="s">
        <v>147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 t="s">
        <v>147</v>
      </c>
      <c r="AQ34" s="8" t="s">
        <v>147</v>
      </c>
      <c r="AR34" s="8"/>
      <c r="AS34" s="8" t="s">
        <v>136</v>
      </c>
      <c r="AT34" s="8" t="s">
        <v>159</v>
      </c>
      <c r="AU34" s="8" t="s">
        <v>136</v>
      </c>
      <c r="AV34" s="8" t="s">
        <v>159</v>
      </c>
      <c r="AW34" s="8">
        <v>123.0</v>
      </c>
      <c r="AX34" s="8" t="s">
        <v>162</v>
      </c>
      <c r="AY34" s="8"/>
      <c r="AZ34" s="8"/>
      <c r="BA34" s="8"/>
      <c r="BB34" s="8"/>
      <c r="BC34" s="8"/>
      <c r="BD34" s="8"/>
      <c r="BE34" s="8"/>
      <c r="BF34" s="8" t="s">
        <v>137</v>
      </c>
      <c r="BG34" s="7">
        <v>45866.0</v>
      </c>
      <c r="BH34" s="9"/>
      <c r="BI34" s="9"/>
      <c r="BJ34" s="9"/>
      <c r="BK34" s="9"/>
      <c r="BL34" s="9"/>
      <c r="BM34" s="9"/>
      <c r="BN34" s="9"/>
      <c r="BO34" s="8" t="s">
        <v>182</v>
      </c>
      <c r="BP34" s="8"/>
      <c r="BQ34" s="8"/>
      <c r="BR34" s="8"/>
      <c r="BS34" s="8"/>
      <c r="BT34" s="8"/>
      <c r="BU34" s="7"/>
      <c r="BV34" s="7"/>
      <c r="BW34" s="7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</row>
    <row r="35" ht="22.5" customHeight="1">
      <c r="A35" s="6"/>
      <c r="B35" s="6"/>
      <c r="C35" s="8"/>
      <c r="D35" s="8"/>
      <c r="E35" s="8" t="s">
        <v>136</v>
      </c>
      <c r="F35" s="7">
        <v>45866.0</v>
      </c>
      <c r="G35" s="8" t="s">
        <v>183</v>
      </c>
      <c r="H35" s="8" t="s">
        <v>135</v>
      </c>
      <c r="I35" s="7">
        <v>45873.0</v>
      </c>
      <c r="J35" s="8" t="s">
        <v>138</v>
      </c>
      <c r="K35" s="8" t="s">
        <v>139</v>
      </c>
      <c r="L35" s="8" t="s">
        <v>150</v>
      </c>
      <c r="M35" s="8">
        <v>2.50728034E8</v>
      </c>
      <c r="N35" s="8" t="s">
        <v>151</v>
      </c>
      <c r="O35" s="8" t="s">
        <v>152</v>
      </c>
      <c r="P35" s="8" t="s">
        <v>153</v>
      </c>
      <c r="Q35" s="8" t="s">
        <v>152</v>
      </c>
      <c r="R35" s="8" t="s">
        <v>154</v>
      </c>
      <c r="S35" s="8" t="s">
        <v>155</v>
      </c>
      <c r="T35" s="8">
        <v>123.0</v>
      </c>
      <c r="U35" s="8" t="s">
        <v>183</v>
      </c>
      <c r="V35" s="8" t="s">
        <v>135</v>
      </c>
      <c r="W35" s="8" t="s">
        <v>147</v>
      </c>
      <c r="X35" s="8" t="s">
        <v>147</v>
      </c>
      <c r="Y35" s="8" t="s">
        <v>147</v>
      </c>
      <c r="Z35" s="8" t="s">
        <v>147</v>
      </c>
      <c r="AA35" s="8" t="s">
        <v>147</v>
      </c>
      <c r="AB35" s="8" t="s">
        <v>147</v>
      </c>
      <c r="AC35" s="8" t="s">
        <v>147</v>
      </c>
      <c r="AD35" s="8" t="s">
        <v>147</v>
      </c>
      <c r="AE35" s="8" t="s">
        <v>147</v>
      </c>
      <c r="AF35" s="8" t="s">
        <v>147</v>
      </c>
      <c r="AG35" s="8" t="s">
        <v>147</v>
      </c>
      <c r="AH35" s="8"/>
      <c r="AI35" s="8" t="s">
        <v>147</v>
      </c>
      <c r="AJ35" s="8" t="s">
        <v>147</v>
      </c>
      <c r="AK35" s="8" t="s">
        <v>147</v>
      </c>
      <c r="AL35" s="8" t="s">
        <v>147</v>
      </c>
      <c r="AM35" s="8" t="s">
        <v>147</v>
      </c>
      <c r="AN35" s="8" t="s">
        <v>147</v>
      </c>
      <c r="AO35" s="8" t="s">
        <v>147</v>
      </c>
      <c r="AP35" s="8" t="s">
        <v>147</v>
      </c>
      <c r="AQ35" s="8" t="s">
        <v>147</v>
      </c>
      <c r="AR35" s="8" t="s">
        <v>147</v>
      </c>
      <c r="AS35" s="8" t="s">
        <v>136</v>
      </c>
      <c r="AT35" s="8" t="s">
        <v>159</v>
      </c>
      <c r="AU35" s="8" t="s">
        <v>136</v>
      </c>
      <c r="AV35" s="8" t="s">
        <v>159</v>
      </c>
      <c r="AW35" s="8">
        <v>123.0</v>
      </c>
      <c r="AX35" s="8">
        <v>123.0</v>
      </c>
      <c r="AY35" s="8">
        <v>123.0</v>
      </c>
      <c r="AZ35" s="8" t="s">
        <v>165</v>
      </c>
      <c r="BA35" s="8"/>
      <c r="BB35" s="8">
        <v>123.0</v>
      </c>
      <c r="BC35" s="8" t="s">
        <v>136</v>
      </c>
      <c r="BD35" s="8" t="s">
        <v>136</v>
      </c>
      <c r="BE35" s="8" t="s">
        <v>158</v>
      </c>
      <c r="BF35" s="8" t="s">
        <v>183</v>
      </c>
      <c r="BG35" s="7">
        <v>45866.0</v>
      </c>
      <c r="BH35" s="9"/>
      <c r="BI35" s="9"/>
      <c r="BJ35" s="9"/>
      <c r="BK35" s="9"/>
      <c r="BL35" s="9"/>
      <c r="BM35" s="9"/>
      <c r="BN35" s="9"/>
      <c r="BO35" s="8" t="s">
        <v>184</v>
      </c>
      <c r="BP35" s="8"/>
      <c r="BQ35" s="8"/>
      <c r="BR35" s="8"/>
      <c r="BS35" s="8"/>
      <c r="BT35" s="8"/>
      <c r="BU35" s="7"/>
      <c r="BV35" s="7"/>
      <c r="BW35" s="7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</row>
    <row r="36" ht="22.5" customHeight="1">
      <c r="A36" s="6"/>
      <c r="B36" s="6"/>
      <c r="C36" s="8"/>
      <c r="D36" s="8"/>
      <c r="E36" s="8" t="s">
        <v>136</v>
      </c>
      <c r="F36" s="7">
        <v>45866.0</v>
      </c>
      <c r="G36" s="8" t="s">
        <v>183</v>
      </c>
      <c r="H36" s="8" t="s">
        <v>135</v>
      </c>
      <c r="I36" s="7">
        <v>45866.0</v>
      </c>
      <c r="J36" s="8" t="s">
        <v>138</v>
      </c>
      <c r="K36" s="8" t="s">
        <v>139</v>
      </c>
      <c r="L36" s="8" t="s">
        <v>140</v>
      </c>
      <c r="M36" s="8">
        <v>2.50728035E8</v>
      </c>
      <c r="N36" s="8" t="s">
        <v>151</v>
      </c>
      <c r="O36" s="8" t="s">
        <v>152</v>
      </c>
      <c r="P36" s="8" t="s">
        <v>153</v>
      </c>
      <c r="Q36" s="8" t="s">
        <v>152</v>
      </c>
      <c r="R36" s="8" t="s">
        <v>154</v>
      </c>
      <c r="S36" s="8" t="s">
        <v>155</v>
      </c>
      <c r="T36" s="8">
        <v>123.0</v>
      </c>
      <c r="U36" s="8" t="s">
        <v>183</v>
      </c>
      <c r="V36" s="8" t="s">
        <v>135</v>
      </c>
      <c r="W36" s="8" t="s">
        <v>147</v>
      </c>
      <c r="X36" s="8"/>
      <c r="Y36" s="8"/>
      <c r="Z36" s="8" t="s">
        <v>147</v>
      </c>
      <c r="AA36" s="8"/>
      <c r="AB36" s="8"/>
      <c r="AC36" s="8" t="s">
        <v>147</v>
      </c>
      <c r="AD36" s="8"/>
      <c r="AE36" s="8" t="s">
        <v>147</v>
      </c>
      <c r="AF36" s="8"/>
      <c r="AG36" s="8"/>
      <c r="AH36" s="8"/>
      <c r="AI36" s="8"/>
      <c r="AJ36" s="8"/>
      <c r="AK36" s="8"/>
      <c r="AL36" s="8"/>
      <c r="AM36" s="8"/>
      <c r="AN36" s="8"/>
      <c r="AO36" s="8" t="s">
        <v>147</v>
      </c>
      <c r="AP36" s="8" t="s">
        <v>147</v>
      </c>
      <c r="AQ36" s="8" t="s">
        <v>147</v>
      </c>
      <c r="AR36" s="8"/>
      <c r="AS36" s="8" t="s">
        <v>136</v>
      </c>
      <c r="AT36" s="8" t="s">
        <v>159</v>
      </c>
      <c r="AU36" s="8" t="s">
        <v>136</v>
      </c>
      <c r="AV36" s="8" t="s">
        <v>159</v>
      </c>
      <c r="AW36" s="8">
        <v>123.0</v>
      </c>
      <c r="AX36" s="8">
        <v>123.0</v>
      </c>
      <c r="AY36" s="8">
        <v>123.0</v>
      </c>
      <c r="AZ36" s="8"/>
      <c r="BA36" s="8">
        <v>123.0</v>
      </c>
      <c r="BB36" s="8"/>
      <c r="BC36" s="8"/>
      <c r="BD36" s="8"/>
      <c r="BE36" s="8"/>
      <c r="BF36" s="8" t="s">
        <v>137</v>
      </c>
      <c r="BG36" s="7"/>
      <c r="BH36" s="8" t="s">
        <v>147</v>
      </c>
      <c r="BI36" s="8" t="s">
        <v>136</v>
      </c>
      <c r="BJ36" s="8" t="s">
        <v>185</v>
      </c>
      <c r="BK36" s="9"/>
      <c r="BL36" s="9"/>
      <c r="BM36" s="9"/>
      <c r="BN36" s="9"/>
      <c r="BO36" s="8" t="s">
        <v>186</v>
      </c>
      <c r="BP36" s="8"/>
      <c r="BQ36" s="8">
        <v>123.0</v>
      </c>
      <c r="BR36" s="8">
        <v>123.0</v>
      </c>
      <c r="BS36" s="8">
        <v>123.0</v>
      </c>
      <c r="BT36" s="8" t="s">
        <v>136</v>
      </c>
      <c r="BU36" s="7"/>
      <c r="BV36" s="7"/>
      <c r="BW36" s="7">
        <v>45866.0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</row>
    <row r="37" ht="22.5" customHeight="1">
      <c r="A37" s="6"/>
      <c r="B37" s="6"/>
      <c r="C37" s="8"/>
      <c r="D37" s="8"/>
      <c r="E37" s="8" t="s">
        <v>136</v>
      </c>
      <c r="F37" s="7">
        <v>45866.0</v>
      </c>
      <c r="G37" s="8" t="s">
        <v>183</v>
      </c>
      <c r="H37" s="8" t="s">
        <v>135</v>
      </c>
      <c r="I37" s="7">
        <v>45866.0</v>
      </c>
      <c r="J37" s="8" t="s">
        <v>138</v>
      </c>
      <c r="K37" s="8" t="s">
        <v>139</v>
      </c>
      <c r="L37" s="8" t="s">
        <v>140</v>
      </c>
      <c r="M37" s="8">
        <v>2.50728036E8</v>
      </c>
      <c r="N37" s="8" t="s">
        <v>151</v>
      </c>
      <c r="O37" s="8" t="s">
        <v>152</v>
      </c>
      <c r="P37" s="8" t="s">
        <v>153</v>
      </c>
      <c r="Q37" s="8" t="s">
        <v>152</v>
      </c>
      <c r="R37" s="8" t="s">
        <v>154</v>
      </c>
      <c r="S37" s="8" t="s">
        <v>155</v>
      </c>
      <c r="T37" s="8">
        <v>123.0</v>
      </c>
      <c r="U37" s="8" t="s">
        <v>183</v>
      </c>
      <c r="V37" s="8" t="s">
        <v>135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 t="s">
        <v>183</v>
      </c>
      <c r="BG37" s="7">
        <v>45866.0</v>
      </c>
      <c r="BH37" s="8"/>
      <c r="BI37" s="8" t="s">
        <v>163</v>
      </c>
      <c r="BJ37" s="8" t="s">
        <v>185</v>
      </c>
      <c r="BK37" s="9"/>
      <c r="BL37" s="9"/>
      <c r="BM37" s="9"/>
      <c r="BN37" s="9"/>
      <c r="BO37" s="8" t="s">
        <v>187</v>
      </c>
      <c r="BP37" s="8"/>
      <c r="BQ37" s="8">
        <v>123.0</v>
      </c>
      <c r="BR37" s="8">
        <v>123.0</v>
      </c>
      <c r="BS37" s="8">
        <v>123.0</v>
      </c>
      <c r="BT37" s="8" t="s">
        <v>136</v>
      </c>
      <c r="BU37" s="7"/>
      <c r="BV37" s="7"/>
      <c r="BW37" s="7">
        <v>45866.0</v>
      </c>
      <c r="BX37" s="8" t="s">
        <v>188</v>
      </c>
      <c r="BY37" s="8" t="s">
        <v>172</v>
      </c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</row>
    <row r="38" ht="22.5" customHeight="1">
      <c r="A38" s="6"/>
      <c r="B38" s="6"/>
      <c r="C38" s="8"/>
      <c r="D38" s="8"/>
      <c r="E38" s="8" t="s">
        <v>136</v>
      </c>
      <c r="F38" s="7">
        <v>45866.0</v>
      </c>
      <c r="G38" s="8" t="s">
        <v>183</v>
      </c>
      <c r="H38" s="8" t="s">
        <v>135</v>
      </c>
      <c r="I38" s="7">
        <v>45874.0</v>
      </c>
      <c r="J38" s="8" t="s">
        <v>138</v>
      </c>
      <c r="K38" s="8" t="s">
        <v>139</v>
      </c>
      <c r="L38" s="8" t="s">
        <v>140</v>
      </c>
      <c r="M38" s="8">
        <v>2.50728037E8</v>
      </c>
      <c r="N38" s="8" t="s">
        <v>151</v>
      </c>
      <c r="O38" s="8" t="s">
        <v>152</v>
      </c>
      <c r="P38" s="8" t="s">
        <v>153</v>
      </c>
      <c r="Q38" s="8" t="s">
        <v>152</v>
      </c>
      <c r="R38" s="8" t="s">
        <v>154</v>
      </c>
      <c r="S38" s="8" t="s">
        <v>155</v>
      </c>
      <c r="T38" s="8">
        <v>123.0</v>
      </c>
      <c r="U38" s="8" t="s">
        <v>183</v>
      </c>
      <c r="V38" s="8" t="s">
        <v>135</v>
      </c>
      <c r="W38" s="8" t="s">
        <v>147</v>
      </c>
      <c r="X38" s="8" t="s">
        <v>147</v>
      </c>
      <c r="Y38" s="8" t="s">
        <v>147</v>
      </c>
      <c r="Z38" s="8" t="s">
        <v>147</v>
      </c>
      <c r="AA38" s="8" t="s">
        <v>147</v>
      </c>
      <c r="AB38" s="8" t="s">
        <v>147</v>
      </c>
      <c r="AC38" s="8" t="s">
        <v>147</v>
      </c>
      <c r="AD38" s="8" t="s">
        <v>147</v>
      </c>
      <c r="AE38" s="8" t="s">
        <v>147</v>
      </c>
      <c r="AF38" s="8" t="s">
        <v>147</v>
      </c>
      <c r="AG38" s="8" t="s">
        <v>147</v>
      </c>
      <c r="AH38" s="8"/>
      <c r="AI38" s="8" t="s">
        <v>147</v>
      </c>
      <c r="AJ38" s="8" t="s">
        <v>147</v>
      </c>
      <c r="AK38" s="8" t="s">
        <v>147</v>
      </c>
      <c r="AL38" s="8" t="s">
        <v>147</v>
      </c>
      <c r="AM38" s="8" t="s">
        <v>147</v>
      </c>
      <c r="AN38" s="8" t="s">
        <v>147</v>
      </c>
      <c r="AO38" s="8" t="s">
        <v>147</v>
      </c>
      <c r="AP38" s="8" t="s">
        <v>147</v>
      </c>
      <c r="AQ38" s="8" t="s">
        <v>147</v>
      </c>
      <c r="AR38" s="8" t="s">
        <v>147</v>
      </c>
      <c r="AS38" s="8" t="s">
        <v>136</v>
      </c>
      <c r="AT38" s="8" t="s">
        <v>159</v>
      </c>
      <c r="AU38" s="8" t="s">
        <v>136</v>
      </c>
      <c r="AV38" s="8" t="s">
        <v>159</v>
      </c>
      <c r="AW38" s="8">
        <v>123.0</v>
      </c>
      <c r="AX38" s="8" t="s">
        <v>165</v>
      </c>
      <c r="AY38" s="8">
        <v>123.0</v>
      </c>
      <c r="AZ38" s="8"/>
      <c r="BA38" s="8">
        <v>123.0</v>
      </c>
      <c r="BB38" s="8">
        <v>123.0</v>
      </c>
      <c r="BC38" s="8" t="s">
        <v>136</v>
      </c>
      <c r="BD38" s="8" t="s">
        <v>136</v>
      </c>
      <c r="BE38" s="8" t="s">
        <v>158</v>
      </c>
      <c r="BF38" s="8" t="s">
        <v>183</v>
      </c>
      <c r="BG38" s="7">
        <v>45866.0</v>
      </c>
      <c r="BH38" s="8" t="s">
        <v>147</v>
      </c>
      <c r="BI38" s="8" t="s">
        <v>136</v>
      </c>
      <c r="BJ38" s="8" t="s">
        <v>185</v>
      </c>
      <c r="BK38" s="9"/>
      <c r="BL38" s="9"/>
      <c r="BM38" s="9"/>
      <c r="BN38" s="9"/>
      <c r="BO38" s="8" t="s">
        <v>189</v>
      </c>
      <c r="BP38" s="8"/>
      <c r="BQ38" s="8"/>
      <c r="BR38" s="8"/>
      <c r="BS38" s="8"/>
      <c r="BT38" s="8"/>
      <c r="BU38" s="7"/>
      <c r="BV38" s="7"/>
      <c r="BW38" s="7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</row>
    <row r="39" ht="22.5" customHeight="1">
      <c r="A39" s="6"/>
      <c r="B39" s="6"/>
      <c r="C39" s="8"/>
      <c r="D39" s="8"/>
      <c r="E39" s="8" t="s">
        <v>136</v>
      </c>
      <c r="F39" s="7">
        <v>45866.0</v>
      </c>
      <c r="G39" s="8" t="s">
        <v>183</v>
      </c>
      <c r="H39" s="8" t="s">
        <v>135</v>
      </c>
      <c r="I39" s="7">
        <v>45874.0</v>
      </c>
      <c r="J39" s="8" t="s">
        <v>138</v>
      </c>
      <c r="K39" s="8" t="s">
        <v>139</v>
      </c>
      <c r="L39" s="8" t="s">
        <v>140</v>
      </c>
      <c r="M39" s="8">
        <v>2.50728038E8</v>
      </c>
      <c r="N39" s="8" t="s">
        <v>151</v>
      </c>
      <c r="O39" s="8" t="s">
        <v>152</v>
      </c>
      <c r="P39" s="8" t="s">
        <v>153</v>
      </c>
      <c r="Q39" s="8" t="s">
        <v>152</v>
      </c>
      <c r="R39" s="8" t="s">
        <v>154</v>
      </c>
      <c r="S39" s="8" t="s">
        <v>155</v>
      </c>
      <c r="T39" s="8">
        <v>123.0</v>
      </c>
      <c r="U39" s="8" t="s">
        <v>156</v>
      </c>
      <c r="V39" s="8" t="s">
        <v>135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 t="s">
        <v>183</v>
      </c>
      <c r="BG39" s="7">
        <v>45866.0</v>
      </c>
      <c r="BH39" s="8"/>
      <c r="BI39" s="8" t="s">
        <v>163</v>
      </c>
      <c r="BJ39" s="8" t="s">
        <v>185</v>
      </c>
      <c r="BK39" s="9"/>
      <c r="BL39" s="9"/>
      <c r="BM39" s="9"/>
      <c r="BN39" s="9"/>
      <c r="BO39" s="8" t="s">
        <v>190</v>
      </c>
      <c r="BP39" s="8"/>
      <c r="BQ39" s="8">
        <v>123.0</v>
      </c>
      <c r="BR39" s="8">
        <v>123.0</v>
      </c>
      <c r="BS39" s="8">
        <v>123.0</v>
      </c>
      <c r="BT39" s="8" t="s">
        <v>136</v>
      </c>
      <c r="BU39" s="7"/>
      <c r="BV39" s="7"/>
      <c r="BW39" s="7">
        <v>45866.0</v>
      </c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</row>
    <row r="40" ht="22.5" customHeight="1">
      <c r="A40" s="6"/>
      <c r="B40" s="6"/>
      <c r="C40" s="8"/>
      <c r="D40" s="8"/>
      <c r="E40" s="8" t="s">
        <v>136</v>
      </c>
      <c r="F40" s="7">
        <v>45866.0</v>
      </c>
      <c r="G40" s="8" t="s">
        <v>183</v>
      </c>
      <c r="H40" s="8" t="s">
        <v>135</v>
      </c>
      <c r="I40" s="7">
        <v>45866.0</v>
      </c>
      <c r="J40" s="8" t="s">
        <v>138</v>
      </c>
      <c r="K40" s="8" t="s">
        <v>139</v>
      </c>
      <c r="L40" s="8" t="s">
        <v>140</v>
      </c>
      <c r="M40" s="8">
        <v>2.50728039E8</v>
      </c>
      <c r="N40" s="8" t="s">
        <v>151</v>
      </c>
      <c r="O40" s="8" t="s">
        <v>152</v>
      </c>
      <c r="P40" s="8" t="s">
        <v>153</v>
      </c>
      <c r="Q40" s="8" t="s">
        <v>152</v>
      </c>
      <c r="R40" s="8" t="s">
        <v>154</v>
      </c>
      <c r="S40" s="8" t="s">
        <v>155</v>
      </c>
      <c r="T40" s="8">
        <v>123.0</v>
      </c>
      <c r="U40" s="8" t="s">
        <v>183</v>
      </c>
      <c r="V40" s="8" t="s">
        <v>135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 t="s">
        <v>183</v>
      </c>
      <c r="BG40" s="7">
        <v>45866.0</v>
      </c>
      <c r="BH40" s="8"/>
      <c r="BI40" s="8" t="s">
        <v>163</v>
      </c>
      <c r="BJ40" s="8" t="s">
        <v>185</v>
      </c>
      <c r="BK40" s="9"/>
      <c r="BL40" s="9"/>
      <c r="BM40" s="9"/>
      <c r="BN40" s="9"/>
      <c r="BO40" s="8" t="s">
        <v>191</v>
      </c>
      <c r="BP40" s="8"/>
      <c r="BQ40" s="8"/>
      <c r="BR40" s="8"/>
      <c r="BS40" s="8"/>
      <c r="BT40" s="8"/>
      <c r="BU40" s="7"/>
      <c r="BV40" s="7"/>
      <c r="BW40" s="7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</row>
    <row r="41" ht="22.5" customHeight="1">
      <c r="A41" s="6"/>
      <c r="B41" s="6"/>
      <c r="C41" s="8"/>
      <c r="D41" s="8"/>
      <c r="E41" s="8" t="s">
        <v>136</v>
      </c>
      <c r="F41" s="7">
        <v>45866.0</v>
      </c>
      <c r="G41" s="8" t="s">
        <v>183</v>
      </c>
      <c r="H41" s="8" t="s">
        <v>135</v>
      </c>
      <c r="I41" s="7">
        <v>45866.0</v>
      </c>
      <c r="J41" s="8" t="s">
        <v>138</v>
      </c>
      <c r="K41" s="8" t="s">
        <v>139</v>
      </c>
      <c r="L41" s="8" t="s">
        <v>140</v>
      </c>
      <c r="M41" s="8">
        <v>2.5072804E8</v>
      </c>
      <c r="N41" s="8" t="s">
        <v>151</v>
      </c>
      <c r="O41" s="8" t="s">
        <v>152</v>
      </c>
      <c r="P41" s="8" t="s">
        <v>153</v>
      </c>
      <c r="Q41" s="8" t="s">
        <v>152</v>
      </c>
      <c r="R41" s="8" t="s">
        <v>154</v>
      </c>
      <c r="S41" s="8" t="s">
        <v>155</v>
      </c>
      <c r="T41" s="8">
        <v>123.0</v>
      </c>
      <c r="U41" s="8" t="s">
        <v>183</v>
      </c>
      <c r="V41" s="8" t="s">
        <v>135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 t="s">
        <v>183</v>
      </c>
      <c r="BG41" s="7">
        <v>45866.0</v>
      </c>
      <c r="BH41" s="8"/>
      <c r="BI41" s="8" t="s">
        <v>163</v>
      </c>
      <c r="BJ41" s="8" t="s">
        <v>185</v>
      </c>
      <c r="BK41" s="9"/>
      <c r="BL41" s="9"/>
      <c r="BM41" s="9"/>
      <c r="BN41" s="9"/>
      <c r="BO41" s="8" t="s">
        <v>192</v>
      </c>
      <c r="BP41" s="8"/>
      <c r="BQ41" s="8"/>
      <c r="BR41" s="8"/>
      <c r="BS41" s="8"/>
      <c r="BT41" s="8"/>
      <c r="BU41" s="7"/>
      <c r="BV41" s="7"/>
      <c r="BW41" s="7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</row>
    <row r="42" ht="22.5" customHeight="1">
      <c r="A42" s="6"/>
      <c r="B42" s="6"/>
      <c r="C42" s="8"/>
      <c r="D42" s="8"/>
      <c r="E42" s="8" t="s">
        <v>136</v>
      </c>
      <c r="F42" s="7">
        <v>45866.0</v>
      </c>
      <c r="G42" s="8" t="s">
        <v>183</v>
      </c>
      <c r="H42" s="8" t="s">
        <v>135</v>
      </c>
      <c r="I42" s="7">
        <v>45874.0</v>
      </c>
      <c r="J42" s="8" t="s">
        <v>138</v>
      </c>
      <c r="K42" s="8" t="s">
        <v>139</v>
      </c>
      <c r="L42" s="8" t="s">
        <v>140</v>
      </c>
      <c r="M42" s="8">
        <v>2.50728041E8</v>
      </c>
      <c r="N42" s="8" t="s">
        <v>151</v>
      </c>
      <c r="O42" s="8" t="s">
        <v>152</v>
      </c>
      <c r="P42" s="8" t="s">
        <v>153</v>
      </c>
      <c r="Q42" s="8" t="s">
        <v>152</v>
      </c>
      <c r="R42" s="8" t="s">
        <v>154</v>
      </c>
      <c r="S42" s="8" t="s">
        <v>155</v>
      </c>
      <c r="T42" s="8">
        <v>123.0</v>
      </c>
      <c r="U42" s="8" t="s">
        <v>183</v>
      </c>
      <c r="V42" s="8" t="s">
        <v>135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 t="s">
        <v>183</v>
      </c>
      <c r="BG42" s="7">
        <v>45866.0</v>
      </c>
      <c r="BH42" s="8"/>
      <c r="BI42" s="8" t="s">
        <v>163</v>
      </c>
      <c r="BJ42" s="8" t="s">
        <v>185</v>
      </c>
      <c r="BK42" s="9"/>
      <c r="BL42" s="9"/>
      <c r="BM42" s="9"/>
      <c r="BN42" s="9"/>
      <c r="BO42" s="8" t="s">
        <v>193</v>
      </c>
      <c r="BP42" s="8"/>
      <c r="BQ42" s="8">
        <v>123.0</v>
      </c>
      <c r="BR42" s="8">
        <v>123.0</v>
      </c>
      <c r="BS42" s="8">
        <v>123.0</v>
      </c>
      <c r="BT42" s="8" t="s">
        <v>136</v>
      </c>
      <c r="BU42" s="7"/>
      <c r="BV42" s="7"/>
      <c r="BW42" s="7">
        <v>45866.0</v>
      </c>
      <c r="BX42" s="8" t="s">
        <v>180</v>
      </c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</row>
    <row r="43" ht="22.5" customHeight="1">
      <c r="A43" s="6"/>
      <c r="B43" s="6"/>
      <c r="C43" s="8"/>
      <c r="D43" s="8"/>
      <c r="E43" s="8" t="s">
        <v>136</v>
      </c>
      <c r="F43" s="7">
        <v>45866.0</v>
      </c>
      <c r="G43" s="8" t="s">
        <v>183</v>
      </c>
      <c r="H43" s="8" t="s">
        <v>135</v>
      </c>
      <c r="I43" s="7">
        <v>45866.0</v>
      </c>
      <c r="J43" s="8" t="s">
        <v>138</v>
      </c>
      <c r="K43" s="8" t="s">
        <v>139</v>
      </c>
      <c r="L43" s="8" t="s">
        <v>150</v>
      </c>
      <c r="M43" s="8">
        <v>2.50728042E8</v>
      </c>
      <c r="N43" s="8" t="s">
        <v>151</v>
      </c>
      <c r="O43" s="8" t="s">
        <v>152</v>
      </c>
      <c r="P43" s="8" t="s">
        <v>153</v>
      </c>
      <c r="Q43" s="8" t="s">
        <v>152</v>
      </c>
      <c r="R43" s="8" t="s">
        <v>154</v>
      </c>
      <c r="S43" s="8" t="s">
        <v>155</v>
      </c>
      <c r="T43" s="8">
        <v>123.0</v>
      </c>
      <c r="U43" s="8" t="s">
        <v>183</v>
      </c>
      <c r="V43" s="8" t="s">
        <v>135</v>
      </c>
      <c r="W43" s="8" t="s">
        <v>147</v>
      </c>
      <c r="X43" s="8" t="s">
        <v>147</v>
      </c>
      <c r="Y43" s="8" t="s">
        <v>147</v>
      </c>
      <c r="Z43" s="8" t="s">
        <v>147</v>
      </c>
      <c r="AA43" s="8" t="s">
        <v>147</v>
      </c>
      <c r="AB43" s="8" t="s">
        <v>147</v>
      </c>
      <c r="AC43" s="8" t="s">
        <v>147</v>
      </c>
      <c r="AD43" s="8" t="s">
        <v>147</v>
      </c>
      <c r="AE43" s="8" t="s">
        <v>147</v>
      </c>
      <c r="AF43" s="8" t="s">
        <v>147</v>
      </c>
      <c r="AG43" s="8" t="s">
        <v>147</v>
      </c>
      <c r="AH43" s="8"/>
      <c r="AI43" s="8" t="s">
        <v>147</v>
      </c>
      <c r="AJ43" s="8" t="s">
        <v>147</v>
      </c>
      <c r="AK43" s="8" t="s">
        <v>147</v>
      </c>
      <c r="AL43" s="8" t="s">
        <v>147</v>
      </c>
      <c r="AM43" s="8" t="s">
        <v>147</v>
      </c>
      <c r="AN43" s="8" t="s">
        <v>147</v>
      </c>
      <c r="AO43" s="8" t="s">
        <v>147</v>
      </c>
      <c r="AP43" s="8" t="s">
        <v>147</v>
      </c>
      <c r="AQ43" s="8" t="s">
        <v>147</v>
      </c>
      <c r="AR43" s="8" t="s">
        <v>147</v>
      </c>
      <c r="AS43" s="8" t="s">
        <v>136</v>
      </c>
      <c r="AT43" s="8" t="s">
        <v>159</v>
      </c>
      <c r="AU43" s="8" t="s">
        <v>136</v>
      </c>
      <c r="AV43" s="8" t="s">
        <v>159</v>
      </c>
      <c r="AW43" s="8">
        <v>123.0</v>
      </c>
      <c r="AX43" s="8">
        <v>123.0</v>
      </c>
      <c r="AY43" s="8">
        <v>123.0</v>
      </c>
      <c r="AZ43" s="8">
        <v>123.0</v>
      </c>
      <c r="BA43" s="8"/>
      <c r="BB43" s="8">
        <v>123.0</v>
      </c>
      <c r="BC43" s="8" t="s">
        <v>136</v>
      </c>
      <c r="BD43" s="8" t="s">
        <v>136</v>
      </c>
      <c r="BE43" s="8" t="s">
        <v>158</v>
      </c>
      <c r="BF43" s="8" t="s">
        <v>183</v>
      </c>
      <c r="BG43" s="7">
        <v>45866.0</v>
      </c>
      <c r="BH43" s="8" t="s">
        <v>147</v>
      </c>
      <c r="BI43" s="8" t="s">
        <v>163</v>
      </c>
      <c r="BJ43" s="8" t="s">
        <v>185</v>
      </c>
      <c r="BK43" s="9"/>
      <c r="BL43" s="9"/>
      <c r="BM43" s="9"/>
      <c r="BN43" s="9"/>
      <c r="BO43" s="8" t="s">
        <v>194</v>
      </c>
      <c r="BP43" s="8"/>
      <c r="BQ43" s="8">
        <v>123.0</v>
      </c>
      <c r="BR43" s="8">
        <v>123.0</v>
      </c>
      <c r="BS43" s="8">
        <v>123.0</v>
      </c>
      <c r="BT43" s="8" t="s">
        <v>136</v>
      </c>
      <c r="BU43" s="7"/>
      <c r="BV43" s="7"/>
      <c r="BW43" s="7">
        <v>45866.0</v>
      </c>
      <c r="BX43" s="8" t="s">
        <v>180</v>
      </c>
      <c r="BY43" s="8"/>
      <c r="BZ43" s="8" t="s">
        <v>195</v>
      </c>
      <c r="CA43" s="8" t="s">
        <v>195</v>
      </c>
      <c r="CB43" s="8" t="s">
        <v>195</v>
      </c>
      <c r="CC43" s="8" t="s">
        <v>195</v>
      </c>
      <c r="CD43" s="8" t="s">
        <v>195</v>
      </c>
      <c r="CE43" s="8" t="s">
        <v>195</v>
      </c>
      <c r="CF43" s="8" t="s">
        <v>195</v>
      </c>
      <c r="CG43" s="8" t="s">
        <v>195</v>
      </c>
      <c r="CH43" s="8"/>
      <c r="CI43" s="8" t="s">
        <v>195</v>
      </c>
      <c r="CJ43" s="8" t="s">
        <v>196</v>
      </c>
      <c r="CK43" s="8" t="s">
        <v>197</v>
      </c>
      <c r="CL43" s="8">
        <v>123.0</v>
      </c>
      <c r="CM43" s="8" t="s">
        <v>197</v>
      </c>
      <c r="CN43" s="8" t="s">
        <v>198</v>
      </c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</row>
    <row r="44" ht="22.5" customHeight="1">
      <c r="A44" s="6"/>
      <c r="B44" s="6"/>
      <c r="C44" s="8"/>
      <c r="D44" s="8"/>
      <c r="E44" s="8" t="s">
        <v>136</v>
      </c>
      <c r="F44" s="7">
        <v>45866.0</v>
      </c>
      <c r="G44" s="8" t="s">
        <v>183</v>
      </c>
      <c r="H44" s="8" t="s">
        <v>135</v>
      </c>
      <c r="I44" s="7">
        <v>45875.0</v>
      </c>
      <c r="J44" s="8" t="s">
        <v>138</v>
      </c>
      <c r="K44" s="8" t="s">
        <v>139</v>
      </c>
      <c r="L44" s="8" t="s">
        <v>140</v>
      </c>
      <c r="M44" s="8">
        <v>2.50728043E8</v>
      </c>
      <c r="N44" s="8" t="s">
        <v>151</v>
      </c>
      <c r="O44" s="8" t="s">
        <v>152</v>
      </c>
      <c r="P44" s="8" t="s">
        <v>153</v>
      </c>
      <c r="Q44" s="8" t="s">
        <v>152</v>
      </c>
      <c r="R44" s="8" t="s">
        <v>154</v>
      </c>
      <c r="S44" s="8" t="s">
        <v>155</v>
      </c>
      <c r="T44" s="8">
        <v>123.0</v>
      </c>
      <c r="U44" s="8" t="s">
        <v>183</v>
      </c>
      <c r="V44" s="8" t="s">
        <v>135</v>
      </c>
      <c r="W44" s="8"/>
      <c r="X44" s="8"/>
      <c r="Y44" s="8"/>
      <c r="Z44" s="8" t="s">
        <v>147</v>
      </c>
      <c r="AA44" s="8" t="s">
        <v>147</v>
      </c>
      <c r="AB44" s="8" t="s">
        <v>147</v>
      </c>
      <c r="AC44" s="8" t="s">
        <v>147</v>
      </c>
      <c r="AD44" s="8"/>
      <c r="AE44" s="8"/>
      <c r="AF44" s="8"/>
      <c r="AG44" s="8" t="s">
        <v>147</v>
      </c>
      <c r="AH44" s="8"/>
      <c r="AI44" s="8" t="s">
        <v>147</v>
      </c>
      <c r="AJ44" s="8" t="s">
        <v>147</v>
      </c>
      <c r="AK44" s="8" t="s">
        <v>147</v>
      </c>
      <c r="AL44" s="8" t="s">
        <v>147</v>
      </c>
      <c r="AM44" s="8" t="s">
        <v>147</v>
      </c>
      <c r="AN44" s="8" t="s">
        <v>147</v>
      </c>
      <c r="AO44" s="8" t="s">
        <v>147</v>
      </c>
      <c r="AP44" s="8" t="s">
        <v>147</v>
      </c>
      <c r="AQ44" s="8" t="s">
        <v>147</v>
      </c>
      <c r="AR44" s="8" t="s">
        <v>147</v>
      </c>
      <c r="AS44" s="8" t="s">
        <v>136</v>
      </c>
      <c r="AT44" s="8" t="s">
        <v>159</v>
      </c>
      <c r="AU44" s="8" t="s">
        <v>136</v>
      </c>
      <c r="AV44" s="8" t="s">
        <v>159</v>
      </c>
      <c r="AW44" s="8">
        <v>123.0</v>
      </c>
      <c r="AX44" s="8">
        <v>123.0</v>
      </c>
      <c r="AY44" s="8">
        <v>123.0</v>
      </c>
      <c r="AZ44" s="8"/>
      <c r="BA44" s="8"/>
      <c r="BB44" s="8"/>
      <c r="BC44" s="8" t="s">
        <v>136</v>
      </c>
      <c r="BD44" s="8" t="s">
        <v>136</v>
      </c>
      <c r="BE44" s="8"/>
      <c r="BF44" s="8" t="s">
        <v>183</v>
      </c>
      <c r="BG44" s="7">
        <v>45866.0</v>
      </c>
      <c r="BH44" s="8" t="s">
        <v>147</v>
      </c>
      <c r="BI44" s="8" t="s">
        <v>136</v>
      </c>
      <c r="BJ44" s="8" t="s">
        <v>185</v>
      </c>
      <c r="BK44" s="9"/>
      <c r="BL44" s="9"/>
      <c r="BM44" s="9"/>
      <c r="BN44" s="9"/>
      <c r="BO44" s="8" t="s">
        <v>199</v>
      </c>
      <c r="BP44" s="8"/>
      <c r="BQ44" s="8">
        <v>123.0</v>
      </c>
      <c r="BR44" s="8">
        <v>123.0</v>
      </c>
      <c r="BS44" s="8">
        <v>123.0</v>
      </c>
      <c r="BT44" s="8" t="s">
        <v>136</v>
      </c>
      <c r="BU44" s="7"/>
      <c r="BV44" s="7"/>
      <c r="BW44" s="7">
        <v>45866.0</v>
      </c>
      <c r="BX44" s="8" t="s">
        <v>180</v>
      </c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</row>
    <row r="45" ht="22.5" customHeight="1">
      <c r="A45" s="6"/>
      <c r="B45" s="6"/>
      <c r="C45" s="8"/>
      <c r="D45" s="8"/>
      <c r="E45" s="8" t="s">
        <v>136</v>
      </c>
      <c r="F45" s="7">
        <v>45866.0</v>
      </c>
      <c r="G45" s="8" t="s">
        <v>183</v>
      </c>
      <c r="H45" s="8" t="s">
        <v>135</v>
      </c>
      <c r="I45" s="7">
        <v>45866.0</v>
      </c>
      <c r="J45" s="8" t="s">
        <v>138</v>
      </c>
      <c r="K45" s="8" t="s">
        <v>139</v>
      </c>
      <c r="L45" s="8" t="s">
        <v>140</v>
      </c>
      <c r="M45" s="8">
        <v>2.50728044E8</v>
      </c>
      <c r="N45" s="8" t="s">
        <v>151</v>
      </c>
      <c r="O45" s="8" t="s">
        <v>152</v>
      </c>
      <c r="P45" s="8" t="s">
        <v>153</v>
      </c>
      <c r="Q45" s="8" t="s">
        <v>152</v>
      </c>
      <c r="R45" s="8" t="s">
        <v>154</v>
      </c>
      <c r="S45" s="8" t="s">
        <v>155</v>
      </c>
      <c r="T45" s="8">
        <v>123.0</v>
      </c>
      <c r="U45" s="8" t="s">
        <v>183</v>
      </c>
      <c r="V45" s="8" t="s">
        <v>135</v>
      </c>
      <c r="W45" s="8"/>
      <c r="X45" s="8"/>
      <c r="Y45" s="8"/>
      <c r="Z45" s="8" t="s">
        <v>147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 t="s">
        <v>147</v>
      </c>
      <c r="AQ45" s="8"/>
      <c r="AR45" s="8"/>
      <c r="AS45" s="8"/>
      <c r="AT45" s="8"/>
      <c r="AU45" s="8"/>
      <c r="AV45" s="8"/>
      <c r="AW45" s="8"/>
      <c r="AX45" s="8">
        <v>123.0</v>
      </c>
      <c r="AY45" s="8"/>
      <c r="AZ45" s="8"/>
      <c r="BA45" s="8"/>
      <c r="BB45" s="8"/>
      <c r="BC45" s="8"/>
      <c r="BD45" s="8"/>
      <c r="BE45" s="8"/>
      <c r="BF45" s="8" t="s">
        <v>183</v>
      </c>
      <c r="BG45" s="7">
        <v>45866.0</v>
      </c>
      <c r="BH45" s="8" t="s">
        <v>147</v>
      </c>
      <c r="BI45" s="8" t="s">
        <v>136</v>
      </c>
      <c r="BJ45" s="8" t="s">
        <v>185</v>
      </c>
      <c r="BK45" s="9"/>
      <c r="BL45" s="9"/>
      <c r="BM45" s="9"/>
      <c r="BN45" s="9"/>
      <c r="BO45" s="8" t="s">
        <v>200</v>
      </c>
      <c r="BP45" s="8"/>
      <c r="BQ45" s="8">
        <v>123.0</v>
      </c>
      <c r="BR45" s="8">
        <v>123.0</v>
      </c>
      <c r="BS45" s="8">
        <v>123.0</v>
      </c>
      <c r="BT45" s="8" t="s">
        <v>136</v>
      </c>
      <c r="BU45" s="7"/>
      <c r="BV45" s="7"/>
      <c r="BW45" s="7">
        <v>45866.0</v>
      </c>
      <c r="BX45" s="8" t="s">
        <v>180</v>
      </c>
      <c r="BY45" s="8"/>
      <c r="BZ45" s="8" t="s">
        <v>195</v>
      </c>
      <c r="CA45" s="8" t="s">
        <v>195</v>
      </c>
      <c r="CB45" s="8"/>
      <c r="CC45" s="8"/>
      <c r="CD45" s="8"/>
      <c r="CE45" s="8"/>
      <c r="CF45" s="8"/>
      <c r="CG45" s="8"/>
      <c r="CH45" s="8"/>
      <c r="CI45" s="8"/>
      <c r="CJ45" s="8" t="s">
        <v>196</v>
      </c>
      <c r="CK45" s="8" t="s">
        <v>197</v>
      </c>
      <c r="CL45" s="8">
        <v>123.0</v>
      </c>
      <c r="CM45" s="8" t="s">
        <v>197</v>
      </c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</row>
    <row r="46" ht="22.5" customHeight="1">
      <c r="A46" s="6"/>
      <c r="B46" s="6"/>
      <c r="C46" s="8"/>
      <c r="D46" s="8"/>
      <c r="E46" s="8" t="s">
        <v>136</v>
      </c>
      <c r="F46" s="7">
        <v>45866.0</v>
      </c>
      <c r="G46" s="8" t="s">
        <v>183</v>
      </c>
      <c r="H46" s="8" t="s">
        <v>135</v>
      </c>
      <c r="I46" s="7">
        <v>45866.0</v>
      </c>
      <c r="J46" s="8" t="s">
        <v>138</v>
      </c>
      <c r="K46" s="8" t="s">
        <v>139</v>
      </c>
      <c r="L46" s="8" t="s">
        <v>140</v>
      </c>
      <c r="M46" s="8">
        <v>2.50728045E8</v>
      </c>
      <c r="N46" s="8" t="s">
        <v>151</v>
      </c>
      <c r="O46" s="8" t="s">
        <v>152</v>
      </c>
      <c r="P46" s="8" t="s">
        <v>153</v>
      </c>
      <c r="Q46" s="8" t="s">
        <v>152</v>
      </c>
      <c r="R46" s="8" t="s">
        <v>154</v>
      </c>
      <c r="S46" s="8" t="s">
        <v>155</v>
      </c>
      <c r="T46" s="8">
        <v>123.0</v>
      </c>
      <c r="U46" s="8" t="s">
        <v>183</v>
      </c>
      <c r="V46" s="8" t="s">
        <v>135</v>
      </c>
      <c r="W46" s="8" t="s">
        <v>147</v>
      </c>
      <c r="X46" s="8" t="s">
        <v>147</v>
      </c>
      <c r="Y46" s="8" t="s">
        <v>147</v>
      </c>
      <c r="Z46" s="8" t="s">
        <v>147</v>
      </c>
      <c r="AA46" s="8" t="s">
        <v>147</v>
      </c>
      <c r="AB46" s="8" t="s">
        <v>147</v>
      </c>
      <c r="AC46" s="8" t="s">
        <v>147</v>
      </c>
      <c r="AD46" s="8" t="s">
        <v>147</v>
      </c>
      <c r="AE46" s="8" t="s">
        <v>147</v>
      </c>
      <c r="AF46" s="8" t="s">
        <v>147</v>
      </c>
      <c r="AG46" s="8" t="s">
        <v>147</v>
      </c>
      <c r="AH46" s="8"/>
      <c r="AI46" s="8" t="s">
        <v>147</v>
      </c>
      <c r="AJ46" s="8" t="s">
        <v>147</v>
      </c>
      <c r="AK46" s="8" t="s">
        <v>147</v>
      </c>
      <c r="AL46" s="8" t="s">
        <v>147</v>
      </c>
      <c r="AM46" s="8" t="s">
        <v>147</v>
      </c>
      <c r="AN46" s="8" t="s">
        <v>147</v>
      </c>
      <c r="AO46" s="8" t="s">
        <v>147</v>
      </c>
      <c r="AP46" s="8" t="s">
        <v>147</v>
      </c>
      <c r="AQ46" s="8" t="s">
        <v>147</v>
      </c>
      <c r="AR46" s="8" t="s">
        <v>147</v>
      </c>
      <c r="AS46" s="8" t="s">
        <v>136</v>
      </c>
      <c r="AT46" s="8" t="s">
        <v>159</v>
      </c>
      <c r="AU46" s="8" t="s">
        <v>136</v>
      </c>
      <c r="AV46" s="8" t="s">
        <v>159</v>
      </c>
      <c r="AW46" s="8">
        <v>123.0</v>
      </c>
      <c r="AX46" s="8">
        <v>123.0</v>
      </c>
      <c r="AY46" s="8">
        <v>123.0</v>
      </c>
      <c r="AZ46" s="8" t="s">
        <v>165</v>
      </c>
      <c r="BA46" s="8"/>
      <c r="BB46" s="8">
        <v>123.0</v>
      </c>
      <c r="BC46" s="8" t="s">
        <v>136</v>
      </c>
      <c r="BD46" s="8" t="s">
        <v>136</v>
      </c>
      <c r="BE46" s="8"/>
      <c r="BF46" s="8" t="s">
        <v>183</v>
      </c>
      <c r="BG46" s="7">
        <v>45866.0</v>
      </c>
      <c r="BH46" s="8" t="s">
        <v>147</v>
      </c>
      <c r="BI46" s="8" t="s">
        <v>136</v>
      </c>
      <c r="BJ46" s="8" t="s">
        <v>185</v>
      </c>
      <c r="BK46" s="9"/>
      <c r="BL46" s="9"/>
      <c r="BM46" s="9"/>
      <c r="BN46" s="9"/>
      <c r="BO46" s="8" t="s">
        <v>201</v>
      </c>
      <c r="BP46" s="8"/>
      <c r="BQ46" s="8">
        <v>123.0</v>
      </c>
      <c r="BR46" s="8">
        <v>123.0</v>
      </c>
      <c r="BS46" s="8">
        <v>123.0</v>
      </c>
      <c r="BT46" s="8" t="s">
        <v>136</v>
      </c>
      <c r="BU46" s="7"/>
      <c r="BV46" s="7"/>
      <c r="BW46" s="7">
        <v>45866.0</v>
      </c>
      <c r="BX46" s="8" t="s">
        <v>202</v>
      </c>
      <c r="BY46" s="8"/>
      <c r="BZ46" s="8" t="s">
        <v>195</v>
      </c>
      <c r="CA46" s="8" t="s">
        <v>195</v>
      </c>
      <c r="CB46" s="8" t="s">
        <v>195</v>
      </c>
      <c r="CC46" s="8" t="s">
        <v>195</v>
      </c>
      <c r="CD46" s="8" t="s">
        <v>195</v>
      </c>
      <c r="CE46" s="8" t="s">
        <v>195</v>
      </c>
      <c r="CF46" s="8" t="s">
        <v>195</v>
      </c>
      <c r="CG46" s="8" t="s">
        <v>195</v>
      </c>
      <c r="CH46" s="8"/>
      <c r="CI46" s="8" t="s">
        <v>195</v>
      </c>
      <c r="CJ46" s="8" t="s">
        <v>196</v>
      </c>
      <c r="CK46" s="8" t="s">
        <v>197</v>
      </c>
      <c r="CL46" s="8">
        <v>123.0</v>
      </c>
      <c r="CM46" s="8" t="s">
        <v>197</v>
      </c>
      <c r="CN46" s="8" t="s">
        <v>198</v>
      </c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 t="s">
        <v>203</v>
      </c>
      <c r="EB46" s="10"/>
      <c r="EC46" s="10"/>
      <c r="ED46" s="10">
        <v>45866.66061342593</v>
      </c>
    </row>
    <row r="47" ht="22.5" customHeight="1">
      <c r="A47" s="6"/>
      <c r="B47" s="6"/>
      <c r="C47" s="8"/>
      <c r="D47" s="8"/>
      <c r="E47" s="8" t="s">
        <v>136</v>
      </c>
      <c r="F47" s="7">
        <v>45866.0</v>
      </c>
      <c r="G47" s="8" t="s">
        <v>183</v>
      </c>
      <c r="H47" s="8" t="s">
        <v>135</v>
      </c>
      <c r="I47" s="7">
        <v>45866.0</v>
      </c>
      <c r="J47" s="8" t="s">
        <v>138</v>
      </c>
      <c r="K47" s="8" t="s">
        <v>139</v>
      </c>
      <c r="L47" s="8" t="s">
        <v>140</v>
      </c>
      <c r="M47" s="8">
        <v>2.50728046E8</v>
      </c>
      <c r="N47" s="8" t="s">
        <v>151</v>
      </c>
      <c r="O47" s="8" t="s">
        <v>152</v>
      </c>
      <c r="P47" s="8" t="s">
        <v>153</v>
      </c>
      <c r="Q47" s="8" t="s">
        <v>152</v>
      </c>
      <c r="R47" s="8" t="s">
        <v>154</v>
      </c>
      <c r="S47" s="8" t="s">
        <v>155</v>
      </c>
      <c r="T47" s="8">
        <v>123.0</v>
      </c>
      <c r="U47" s="8" t="s">
        <v>156</v>
      </c>
      <c r="V47" s="8" t="s">
        <v>135</v>
      </c>
      <c r="W47" s="8"/>
      <c r="X47" s="8"/>
      <c r="Y47" s="8"/>
      <c r="Z47" s="8" t="s">
        <v>147</v>
      </c>
      <c r="AA47" s="8" t="s">
        <v>147</v>
      </c>
      <c r="AB47" s="8" t="s">
        <v>147</v>
      </c>
      <c r="AC47" s="8" t="s">
        <v>147</v>
      </c>
      <c r="AD47" s="8"/>
      <c r="AE47" s="8"/>
      <c r="AF47" s="8"/>
      <c r="AG47" s="8" t="s">
        <v>147</v>
      </c>
      <c r="AH47" s="8"/>
      <c r="AI47" s="8" t="s">
        <v>147</v>
      </c>
      <c r="AJ47" s="8" t="s">
        <v>147</v>
      </c>
      <c r="AK47" s="8" t="s">
        <v>147</v>
      </c>
      <c r="AL47" s="8"/>
      <c r="AM47" s="8"/>
      <c r="AN47" s="8"/>
      <c r="AO47" s="8" t="s">
        <v>147</v>
      </c>
      <c r="AP47" s="8" t="s">
        <v>147</v>
      </c>
      <c r="AQ47" s="8" t="s">
        <v>147</v>
      </c>
      <c r="AR47" s="8" t="s">
        <v>147</v>
      </c>
      <c r="AS47" s="8" t="s">
        <v>136</v>
      </c>
      <c r="AT47" s="8" t="s">
        <v>159</v>
      </c>
      <c r="AU47" s="8" t="s">
        <v>136</v>
      </c>
      <c r="AV47" s="8" t="s">
        <v>159</v>
      </c>
      <c r="AW47" s="8">
        <v>123.0</v>
      </c>
      <c r="AX47" s="8">
        <v>123.0</v>
      </c>
      <c r="AY47" s="8">
        <v>123.0</v>
      </c>
      <c r="AZ47" s="8"/>
      <c r="BA47" s="8"/>
      <c r="BB47" s="8"/>
      <c r="BC47" s="8"/>
      <c r="BD47" s="8"/>
      <c r="BE47" s="8"/>
      <c r="BF47" s="8" t="s">
        <v>183</v>
      </c>
      <c r="BG47" s="7">
        <v>45866.0</v>
      </c>
      <c r="BH47" s="8" t="s">
        <v>147</v>
      </c>
      <c r="BI47" s="8" t="s">
        <v>136</v>
      </c>
      <c r="BJ47" s="8" t="s">
        <v>185</v>
      </c>
      <c r="BK47" s="9"/>
      <c r="BL47" s="9"/>
      <c r="BM47" s="9"/>
      <c r="BN47" s="9"/>
      <c r="BO47" s="8" t="s">
        <v>204</v>
      </c>
      <c r="BP47" s="8"/>
      <c r="BQ47" s="8">
        <v>123.0</v>
      </c>
      <c r="BR47" s="8">
        <v>123.0</v>
      </c>
      <c r="BS47" s="8">
        <v>123.0</v>
      </c>
      <c r="BT47" s="8" t="s">
        <v>136</v>
      </c>
      <c r="BU47" s="7"/>
      <c r="BV47" s="7"/>
      <c r="BW47" s="7">
        <v>45866.0</v>
      </c>
      <c r="BX47" s="8" t="s">
        <v>202</v>
      </c>
      <c r="BY47" s="8"/>
      <c r="BZ47" s="8" t="s">
        <v>195</v>
      </c>
      <c r="CA47" s="8" t="s">
        <v>195</v>
      </c>
      <c r="CB47" s="8" t="s">
        <v>195</v>
      </c>
      <c r="CC47" s="8" t="s">
        <v>195</v>
      </c>
      <c r="CD47" s="8" t="s">
        <v>195</v>
      </c>
      <c r="CE47" s="8" t="s">
        <v>195</v>
      </c>
      <c r="CF47" s="8" t="s">
        <v>195</v>
      </c>
      <c r="CG47" s="8" t="s">
        <v>195</v>
      </c>
      <c r="CH47" s="8"/>
      <c r="CI47" s="8" t="s">
        <v>195</v>
      </c>
      <c r="CJ47" s="8" t="s">
        <v>196</v>
      </c>
      <c r="CK47" s="8" t="s">
        <v>197</v>
      </c>
      <c r="CL47" s="8">
        <v>123.0</v>
      </c>
      <c r="CM47" s="8" t="s">
        <v>197</v>
      </c>
      <c r="CN47" s="8" t="s">
        <v>198</v>
      </c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 t="s">
        <v>203</v>
      </c>
      <c r="EB47" s="10"/>
      <c r="EC47" s="10"/>
      <c r="ED47" s="10">
        <v>45866.682708333334</v>
      </c>
    </row>
    <row r="48" ht="22.5" customHeight="1">
      <c r="A48" s="6"/>
      <c r="B48" s="6"/>
      <c r="C48" s="8"/>
      <c r="D48" s="8"/>
      <c r="E48" s="8" t="s">
        <v>136</v>
      </c>
      <c r="F48" s="7">
        <v>45867.0</v>
      </c>
      <c r="G48" s="8" t="s">
        <v>205</v>
      </c>
      <c r="H48" s="8" t="s">
        <v>206</v>
      </c>
      <c r="I48" s="7">
        <v>45873.0</v>
      </c>
      <c r="J48" s="8" t="s">
        <v>138</v>
      </c>
      <c r="K48" s="8" t="s">
        <v>139</v>
      </c>
      <c r="L48" s="8" t="s">
        <v>140</v>
      </c>
      <c r="M48" s="8">
        <v>2.50729047E8</v>
      </c>
      <c r="N48" s="8" t="s">
        <v>151</v>
      </c>
      <c r="O48" s="8" t="s">
        <v>207</v>
      </c>
      <c r="P48" s="8" t="s">
        <v>153</v>
      </c>
      <c r="Q48" s="8" t="s">
        <v>207</v>
      </c>
      <c r="R48" s="8" t="s">
        <v>208</v>
      </c>
      <c r="S48" s="8" t="s">
        <v>209</v>
      </c>
      <c r="T48" s="8" t="s">
        <v>210</v>
      </c>
      <c r="U48" s="8" t="s">
        <v>211</v>
      </c>
      <c r="V48" s="8" t="s">
        <v>206</v>
      </c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 t="s">
        <v>211</v>
      </c>
      <c r="BG48" s="7">
        <v>45867.0</v>
      </c>
      <c r="BH48" s="8"/>
      <c r="BI48" s="8" t="s">
        <v>163</v>
      </c>
      <c r="BJ48" s="8" t="s">
        <v>185</v>
      </c>
      <c r="BK48" s="9"/>
      <c r="BL48" s="9"/>
      <c r="BM48" s="9"/>
      <c r="BN48" s="9"/>
      <c r="BO48" s="8" t="s">
        <v>212</v>
      </c>
      <c r="BP48" s="8"/>
      <c r="BQ48" s="8">
        <v>55555.0</v>
      </c>
      <c r="BR48" s="8" t="s">
        <v>213</v>
      </c>
      <c r="BS48" s="8" t="s">
        <v>214</v>
      </c>
      <c r="BT48" s="8" t="s">
        <v>136</v>
      </c>
      <c r="BU48" s="7"/>
      <c r="BV48" s="7"/>
      <c r="BW48" s="7">
        <v>45867.0</v>
      </c>
      <c r="BX48" s="8" t="s">
        <v>180</v>
      </c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10"/>
      <c r="EC48" s="10"/>
      <c r="ED48" s="10"/>
    </row>
    <row r="49" ht="22.5" customHeight="1">
      <c r="A49" s="6"/>
      <c r="B49" s="6"/>
      <c r="C49" s="8"/>
      <c r="D49" s="8"/>
      <c r="E49" s="8" t="s">
        <v>136</v>
      </c>
      <c r="F49" s="7">
        <v>45867.0</v>
      </c>
      <c r="G49" s="8" t="s">
        <v>205</v>
      </c>
      <c r="H49" s="8" t="s">
        <v>206</v>
      </c>
      <c r="I49" s="7">
        <v>45867.0</v>
      </c>
      <c r="J49" s="8" t="s">
        <v>138</v>
      </c>
      <c r="K49" s="8" t="s">
        <v>139</v>
      </c>
      <c r="L49" s="8" t="s">
        <v>150</v>
      </c>
      <c r="M49" s="8">
        <v>2.50729048E8</v>
      </c>
      <c r="N49" s="8" t="s">
        <v>215</v>
      </c>
      <c r="O49" s="8"/>
      <c r="P49" s="8" t="s">
        <v>216</v>
      </c>
      <c r="Q49" s="8"/>
      <c r="R49" s="8" t="s">
        <v>208</v>
      </c>
      <c r="S49" s="8" t="s">
        <v>209</v>
      </c>
      <c r="T49" s="8" t="s">
        <v>210</v>
      </c>
      <c r="U49" s="8" t="s">
        <v>211</v>
      </c>
      <c r="V49" s="8" t="s">
        <v>206</v>
      </c>
      <c r="W49" s="8" t="s">
        <v>147</v>
      </c>
      <c r="X49" s="8" t="s">
        <v>147</v>
      </c>
      <c r="Y49" s="8" t="s">
        <v>147</v>
      </c>
      <c r="Z49" s="8" t="s">
        <v>147</v>
      </c>
      <c r="AA49" s="8" t="s">
        <v>147</v>
      </c>
      <c r="AB49" s="8" t="s">
        <v>147</v>
      </c>
      <c r="AC49" s="8" t="s">
        <v>147</v>
      </c>
      <c r="AD49" s="8" t="s">
        <v>164</v>
      </c>
      <c r="AE49" s="8" t="s">
        <v>164</v>
      </c>
      <c r="AF49" s="8" t="s">
        <v>164</v>
      </c>
      <c r="AG49" s="8" t="s">
        <v>147</v>
      </c>
      <c r="AH49" s="8"/>
      <c r="AI49" s="8" t="s">
        <v>147</v>
      </c>
      <c r="AJ49" s="8" t="s">
        <v>147</v>
      </c>
      <c r="AK49" s="8" t="s">
        <v>147</v>
      </c>
      <c r="AL49" s="8" t="s">
        <v>147</v>
      </c>
      <c r="AM49" s="8" t="s">
        <v>147</v>
      </c>
      <c r="AN49" s="8" t="s">
        <v>147</v>
      </c>
      <c r="AO49" s="8" t="s">
        <v>147</v>
      </c>
      <c r="AP49" s="8" t="s">
        <v>147</v>
      </c>
      <c r="AQ49" s="8" t="s">
        <v>147</v>
      </c>
      <c r="AR49" s="8" t="s">
        <v>147</v>
      </c>
      <c r="AS49" s="8" t="s">
        <v>163</v>
      </c>
      <c r="AT49" s="8"/>
      <c r="AU49" s="8" t="s">
        <v>163</v>
      </c>
      <c r="AV49" s="8"/>
      <c r="AW49" s="8"/>
      <c r="AX49" s="8">
        <v>555.0</v>
      </c>
      <c r="AY49" s="8">
        <v>555.0</v>
      </c>
      <c r="AZ49" s="8"/>
      <c r="BA49" s="8"/>
      <c r="BB49" s="8"/>
      <c r="BC49" s="8" t="s">
        <v>136</v>
      </c>
      <c r="BD49" s="8" t="s">
        <v>136</v>
      </c>
      <c r="BE49" s="8"/>
      <c r="BF49" s="8" t="s">
        <v>211</v>
      </c>
      <c r="BG49" s="7">
        <v>45867.0</v>
      </c>
      <c r="BH49" s="8" t="s">
        <v>147</v>
      </c>
      <c r="BI49" s="8" t="s">
        <v>163</v>
      </c>
      <c r="BJ49" s="8" t="s">
        <v>217</v>
      </c>
      <c r="BK49" s="9"/>
      <c r="BL49" s="9"/>
      <c r="BM49" s="9"/>
      <c r="BN49" s="9"/>
      <c r="BO49" s="8" t="s">
        <v>218</v>
      </c>
      <c r="BP49" s="8"/>
      <c r="BQ49" s="8">
        <v>55555.0</v>
      </c>
      <c r="BR49" s="8" t="s">
        <v>213</v>
      </c>
      <c r="BS49" s="8" t="s">
        <v>214</v>
      </c>
      <c r="BT49" s="8" t="s">
        <v>136</v>
      </c>
      <c r="BU49" s="7"/>
      <c r="BV49" s="7"/>
      <c r="BW49" s="7">
        <v>45867.0</v>
      </c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10"/>
      <c r="EC49" s="10"/>
      <c r="ED49" s="10"/>
    </row>
    <row r="50" ht="22.5" customHeight="1">
      <c r="A50" s="6"/>
      <c r="B50" s="6"/>
      <c r="C50" s="8"/>
      <c r="D50" s="8"/>
      <c r="E50" s="8" t="s">
        <v>136</v>
      </c>
      <c r="F50" s="7">
        <v>45867.0</v>
      </c>
      <c r="G50" s="8" t="s">
        <v>137</v>
      </c>
      <c r="H50" s="8" t="s">
        <v>135</v>
      </c>
      <c r="I50" s="7">
        <v>45867.0</v>
      </c>
      <c r="J50" s="8" t="s">
        <v>138</v>
      </c>
      <c r="K50" s="8" t="s">
        <v>139</v>
      </c>
      <c r="L50" s="8" t="s">
        <v>140</v>
      </c>
      <c r="M50" s="8">
        <v>2.50729049E8</v>
      </c>
      <c r="N50" s="8" t="s">
        <v>151</v>
      </c>
      <c r="O50" s="8" t="s">
        <v>152</v>
      </c>
      <c r="P50" s="8" t="s">
        <v>153</v>
      </c>
      <c r="Q50" s="8" t="s">
        <v>152</v>
      </c>
      <c r="R50" s="8" t="s">
        <v>154</v>
      </c>
      <c r="S50" s="8" t="s">
        <v>155</v>
      </c>
      <c r="T50" s="8">
        <v>123.0</v>
      </c>
      <c r="U50" s="8" t="s">
        <v>183</v>
      </c>
      <c r="V50" s="8" t="s">
        <v>135</v>
      </c>
      <c r="W50" s="8" t="s">
        <v>147</v>
      </c>
      <c r="X50" s="8" t="s">
        <v>147</v>
      </c>
      <c r="Y50" s="8" t="s">
        <v>147</v>
      </c>
      <c r="Z50" s="8" t="s">
        <v>147</v>
      </c>
      <c r="AA50" s="8" t="s">
        <v>147</v>
      </c>
      <c r="AB50" s="8" t="s">
        <v>147</v>
      </c>
      <c r="AC50" s="8" t="s">
        <v>147</v>
      </c>
      <c r="AD50" s="8" t="s">
        <v>147</v>
      </c>
      <c r="AE50" s="8" t="s">
        <v>147</v>
      </c>
      <c r="AF50" s="8" t="s">
        <v>147</v>
      </c>
      <c r="AG50" s="8" t="s">
        <v>147</v>
      </c>
      <c r="AH50" s="8" t="s">
        <v>147</v>
      </c>
      <c r="AI50" s="8" t="s">
        <v>147</v>
      </c>
      <c r="AJ50" s="8" t="s">
        <v>147</v>
      </c>
      <c r="AK50" s="8" t="s">
        <v>147</v>
      </c>
      <c r="AL50" s="8" t="s">
        <v>147</v>
      </c>
      <c r="AM50" s="8" t="s">
        <v>147</v>
      </c>
      <c r="AN50" s="8" t="s">
        <v>147</v>
      </c>
      <c r="AO50" s="8" t="s">
        <v>147</v>
      </c>
      <c r="AP50" s="8" t="s">
        <v>147</v>
      </c>
      <c r="AQ50" s="8" t="s">
        <v>147</v>
      </c>
      <c r="AR50" s="8" t="s">
        <v>147</v>
      </c>
      <c r="AS50" s="8" t="s">
        <v>136</v>
      </c>
      <c r="AT50" s="8" t="s">
        <v>159</v>
      </c>
      <c r="AU50" s="8" t="s">
        <v>136</v>
      </c>
      <c r="AV50" s="8" t="s">
        <v>159</v>
      </c>
      <c r="AW50" s="8">
        <v>123.0</v>
      </c>
      <c r="AX50" s="8">
        <v>123.0</v>
      </c>
      <c r="AY50" s="8">
        <v>123.0</v>
      </c>
      <c r="AZ50" s="8">
        <v>123.0</v>
      </c>
      <c r="BA50" s="8"/>
      <c r="BB50" s="8">
        <v>123.0</v>
      </c>
      <c r="BC50" s="8" t="s">
        <v>136</v>
      </c>
      <c r="BD50" s="8" t="s">
        <v>136</v>
      </c>
      <c r="BE50" s="8"/>
      <c r="BF50" s="8" t="s">
        <v>137</v>
      </c>
      <c r="BG50" s="7"/>
      <c r="BH50" s="8" t="s">
        <v>147</v>
      </c>
      <c r="BI50" s="8" t="s">
        <v>136</v>
      </c>
      <c r="BJ50" s="8" t="s">
        <v>219</v>
      </c>
      <c r="BK50" s="7">
        <v>45875.0</v>
      </c>
      <c r="BL50" s="8" t="s">
        <v>147</v>
      </c>
      <c r="BM50" s="9"/>
      <c r="BN50" s="9"/>
      <c r="BO50" s="8" t="s">
        <v>220</v>
      </c>
      <c r="BP50" s="8"/>
      <c r="BQ50" s="8">
        <v>123.0</v>
      </c>
      <c r="BR50" s="8">
        <v>123.0</v>
      </c>
      <c r="BS50" s="8">
        <v>123.0</v>
      </c>
      <c r="BT50" s="8" t="s">
        <v>136</v>
      </c>
      <c r="BU50" s="7"/>
      <c r="BV50" s="7"/>
      <c r="BW50" s="7">
        <v>45867.501245625</v>
      </c>
      <c r="BX50" s="8" t="s">
        <v>202</v>
      </c>
      <c r="BY50" s="8"/>
      <c r="BZ50" s="8" t="s">
        <v>195</v>
      </c>
      <c r="CA50" s="8" t="s">
        <v>195</v>
      </c>
      <c r="CB50" s="8" t="s">
        <v>195</v>
      </c>
      <c r="CC50" s="8" t="s">
        <v>195</v>
      </c>
      <c r="CD50" s="8" t="s">
        <v>195</v>
      </c>
      <c r="CE50" s="8" t="s">
        <v>195</v>
      </c>
      <c r="CF50" s="8" t="s">
        <v>195</v>
      </c>
      <c r="CG50" s="8" t="s">
        <v>195</v>
      </c>
      <c r="CH50" s="8"/>
      <c r="CI50" s="8" t="s">
        <v>195</v>
      </c>
      <c r="CJ50" s="8" t="s">
        <v>196</v>
      </c>
      <c r="CK50" s="8" t="s">
        <v>197</v>
      </c>
      <c r="CL50" s="8">
        <v>123.0</v>
      </c>
      <c r="CM50" s="8" t="s">
        <v>197</v>
      </c>
      <c r="CN50" s="8" t="s">
        <v>198</v>
      </c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 t="s">
        <v>203</v>
      </c>
      <c r="EB50" s="10"/>
      <c r="EC50" s="10"/>
      <c r="ED50" s="10">
        <v>45867.504907407405</v>
      </c>
    </row>
    <row r="51" ht="22.5" customHeight="1">
      <c r="A51" s="6"/>
      <c r="B51" s="6"/>
      <c r="C51" s="8"/>
      <c r="D51" s="8"/>
      <c r="E51" s="8" t="s">
        <v>136</v>
      </c>
      <c r="F51" s="7">
        <v>45867.0</v>
      </c>
      <c r="G51" s="8" t="s">
        <v>183</v>
      </c>
      <c r="H51" s="8" t="s">
        <v>135</v>
      </c>
      <c r="I51" s="7">
        <v>45867.0</v>
      </c>
      <c r="J51" s="8" t="s">
        <v>138</v>
      </c>
      <c r="K51" s="8" t="s">
        <v>139</v>
      </c>
      <c r="L51" s="8" t="s">
        <v>140</v>
      </c>
      <c r="M51" s="8">
        <v>2.5072905E8</v>
      </c>
      <c r="N51" s="8" t="s">
        <v>151</v>
      </c>
      <c r="O51" s="8" t="s">
        <v>152</v>
      </c>
      <c r="P51" s="8" t="s">
        <v>153</v>
      </c>
      <c r="Q51" s="8" t="s">
        <v>152</v>
      </c>
      <c r="R51" s="8" t="s">
        <v>154</v>
      </c>
      <c r="S51" s="8"/>
      <c r="T51" s="8"/>
      <c r="U51" s="8" t="s">
        <v>156</v>
      </c>
      <c r="V51" s="8" t="s">
        <v>135</v>
      </c>
      <c r="W51" s="8" t="s">
        <v>147</v>
      </c>
      <c r="X51" s="8" t="s">
        <v>147</v>
      </c>
      <c r="Y51" s="8" t="s">
        <v>147</v>
      </c>
      <c r="Z51" s="8" t="s">
        <v>147</v>
      </c>
      <c r="AA51" s="8" t="s">
        <v>147</v>
      </c>
      <c r="AB51" s="8" t="s">
        <v>147</v>
      </c>
      <c r="AC51" s="8" t="s">
        <v>147</v>
      </c>
      <c r="AD51" s="8" t="s">
        <v>147</v>
      </c>
      <c r="AE51" s="8" t="s">
        <v>147</v>
      </c>
      <c r="AF51" s="8" t="s">
        <v>147</v>
      </c>
      <c r="AG51" s="8" t="s">
        <v>147</v>
      </c>
      <c r="AH51" s="8" t="s">
        <v>147</v>
      </c>
      <c r="AI51" s="8" t="s">
        <v>147</v>
      </c>
      <c r="AJ51" s="8" t="s">
        <v>147</v>
      </c>
      <c r="AK51" s="8" t="s">
        <v>147</v>
      </c>
      <c r="AL51" s="8" t="s">
        <v>147</v>
      </c>
      <c r="AM51" s="8" t="s">
        <v>147</v>
      </c>
      <c r="AN51" s="8" t="s">
        <v>147</v>
      </c>
      <c r="AO51" s="8" t="s">
        <v>147</v>
      </c>
      <c r="AP51" s="8" t="s">
        <v>147</v>
      </c>
      <c r="AQ51" s="8" t="s">
        <v>147</v>
      </c>
      <c r="AR51" s="8" t="s">
        <v>147</v>
      </c>
      <c r="AS51" s="8" t="s">
        <v>136</v>
      </c>
      <c r="AT51" s="8" t="s">
        <v>159</v>
      </c>
      <c r="AU51" s="8" t="s">
        <v>136</v>
      </c>
      <c r="AV51" s="8" t="s">
        <v>159</v>
      </c>
      <c r="AW51" s="8">
        <v>123.0</v>
      </c>
      <c r="AX51" s="8">
        <v>123.0</v>
      </c>
      <c r="AY51" s="8">
        <v>123.0</v>
      </c>
      <c r="AZ51" s="8">
        <v>123.0</v>
      </c>
      <c r="BA51" s="8">
        <v>123.0</v>
      </c>
      <c r="BB51" s="8">
        <v>123.0</v>
      </c>
      <c r="BC51" s="8"/>
      <c r="BD51" s="8"/>
      <c r="BE51" s="8"/>
      <c r="BF51" s="8" t="s">
        <v>137</v>
      </c>
      <c r="BG51" s="7"/>
      <c r="BH51" s="8" t="s">
        <v>147</v>
      </c>
      <c r="BI51" s="8" t="s">
        <v>136</v>
      </c>
      <c r="BJ51" s="8" t="s">
        <v>219</v>
      </c>
      <c r="BK51" s="7">
        <v>45875.0</v>
      </c>
      <c r="BL51" s="8" t="s">
        <v>147</v>
      </c>
      <c r="BM51" s="9"/>
      <c r="BN51" s="9"/>
      <c r="BO51" s="8" t="s">
        <v>221</v>
      </c>
      <c r="BP51" s="8"/>
      <c r="BQ51" s="8">
        <v>123.0</v>
      </c>
      <c r="BR51" s="8">
        <v>123.0</v>
      </c>
      <c r="BS51" s="8">
        <v>123.0</v>
      </c>
      <c r="BT51" s="8" t="s">
        <v>136</v>
      </c>
      <c r="BU51" s="7"/>
      <c r="BV51" s="7"/>
      <c r="BW51" s="7">
        <v>45867.52427537037</v>
      </c>
      <c r="BX51" s="8" t="s">
        <v>202</v>
      </c>
      <c r="BY51" s="8"/>
      <c r="BZ51" s="8" t="s">
        <v>195</v>
      </c>
      <c r="CA51" s="8" t="s">
        <v>195</v>
      </c>
      <c r="CB51" s="8" t="s">
        <v>195</v>
      </c>
      <c r="CC51" s="8" t="s">
        <v>195</v>
      </c>
      <c r="CD51" s="8" t="s">
        <v>195</v>
      </c>
      <c r="CE51" s="8" t="s">
        <v>195</v>
      </c>
      <c r="CF51" s="8" t="s">
        <v>195</v>
      </c>
      <c r="CG51" s="8" t="s">
        <v>195</v>
      </c>
      <c r="CH51" s="8"/>
      <c r="CI51" s="8" t="s">
        <v>195</v>
      </c>
      <c r="CJ51" s="8" t="s">
        <v>196</v>
      </c>
      <c r="CK51" s="8" t="s">
        <v>197</v>
      </c>
      <c r="CL51" s="8">
        <v>123.0</v>
      </c>
      <c r="CM51" s="8" t="s">
        <v>197</v>
      </c>
      <c r="CN51" s="8" t="s">
        <v>198</v>
      </c>
      <c r="CO51" s="8"/>
      <c r="CP51" s="11">
        <v>45867.525668981485</v>
      </c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 t="s">
        <v>203</v>
      </c>
      <c r="EB51" s="10"/>
      <c r="EC51" s="10"/>
      <c r="ED51" s="10">
        <v>45867.52670138889</v>
      </c>
    </row>
    <row r="52" ht="22.5" customHeight="1">
      <c r="A52" s="12">
        <v>45867.53386548611</v>
      </c>
      <c r="B52" s="6"/>
      <c r="C52" s="8"/>
      <c r="D52" s="8"/>
      <c r="E52" s="8" t="s">
        <v>136</v>
      </c>
      <c r="F52" s="7">
        <v>45867.0</v>
      </c>
      <c r="G52" s="8" t="s">
        <v>137</v>
      </c>
      <c r="H52" s="8" t="s">
        <v>135</v>
      </c>
      <c r="I52" s="7">
        <v>45875.0</v>
      </c>
      <c r="J52" s="8" t="s">
        <v>138</v>
      </c>
      <c r="K52" s="8" t="s">
        <v>139</v>
      </c>
      <c r="L52" s="8" t="s">
        <v>150</v>
      </c>
      <c r="M52" s="8">
        <v>2.50729051E8</v>
      </c>
      <c r="N52" s="8" t="s">
        <v>151</v>
      </c>
      <c r="O52" s="8" t="s">
        <v>152</v>
      </c>
      <c r="P52" s="8" t="s">
        <v>153</v>
      </c>
      <c r="Q52" s="8" t="s">
        <v>152</v>
      </c>
      <c r="R52" s="8" t="s">
        <v>154</v>
      </c>
      <c r="S52" s="8" t="s">
        <v>155</v>
      </c>
      <c r="T52" s="8">
        <v>123.0</v>
      </c>
      <c r="U52" s="8" t="s">
        <v>156</v>
      </c>
      <c r="V52" s="8" t="s">
        <v>135</v>
      </c>
      <c r="W52" s="8"/>
      <c r="X52" s="8"/>
      <c r="Y52" s="8" t="s">
        <v>147</v>
      </c>
      <c r="Z52" s="8" t="s">
        <v>147</v>
      </c>
      <c r="AA52" s="8" t="s">
        <v>147</v>
      </c>
      <c r="AB52" s="8" t="s">
        <v>147</v>
      </c>
      <c r="AC52" s="8"/>
      <c r="AD52" s="8"/>
      <c r="AE52" s="8"/>
      <c r="AF52" s="8"/>
      <c r="AG52" s="8" t="s">
        <v>147</v>
      </c>
      <c r="AH52" s="8" t="s">
        <v>147</v>
      </c>
      <c r="AI52" s="8" t="s">
        <v>147</v>
      </c>
      <c r="AJ52" s="8" t="s">
        <v>147</v>
      </c>
      <c r="AK52" s="8" t="s">
        <v>147</v>
      </c>
      <c r="AL52" s="8"/>
      <c r="AM52" s="8" t="s">
        <v>147</v>
      </c>
      <c r="AN52" s="8" t="s">
        <v>147</v>
      </c>
      <c r="AO52" s="8" t="s">
        <v>147</v>
      </c>
      <c r="AP52" s="8" t="s">
        <v>147</v>
      </c>
      <c r="AQ52" s="8" t="s">
        <v>147</v>
      </c>
      <c r="AR52" s="8"/>
      <c r="AS52" s="8"/>
      <c r="AT52" s="8"/>
      <c r="AU52" s="8"/>
      <c r="AV52" s="8"/>
      <c r="AW52" s="8"/>
      <c r="AX52" s="8">
        <v>123.0</v>
      </c>
      <c r="AY52" s="8">
        <v>123.0</v>
      </c>
      <c r="AZ52" s="8"/>
      <c r="BA52" s="8"/>
      <c r="BB52" s="8"/>
      <c r="BC52" s="8"/>
      <c r="BD52" s="8"/>
      <c r="BE52" s="8"/>
      <c r="BF52" s="8" t="s">
        <v>183</v>
      </c>
      <c r="BG52" s="7"/>
      <c r="BH52" s="8" t="s">
        <v>147</v>
      </c>
      <c r="BI52" s="8" t="s">
        <v>136</v>
      </c>
      <c r="BJ52" s="8" t="s">
        <v>219</v>
      </c>
      <c r="BK52" s="7">
        <v>45875.0</v>
      </c>
      <c r="BL52" s="8" t="s">
        <v>147</v>
      </c>
      <c r="BM52" s="9"/>
      <c r="BN52" s="9"/>
      <c r="BO52" s="8" t="s">
        <v>222</v>
      </c>
      <c r="BP52" s="8"/>
      <c r="BQ52" s="8">
        <v>123.0</v>
      </c>
      <c r="BR52" s="8">
        <v>123.0</v>
      </c>
      <c r="BS52" s="8">
        <v>123.0</v>
      </c>
      <c r="BT52" s="8" t="s">
        <v>136</v>
      </c>
      <c r="BU52" s="7"/>
      <c r="BV52" s="7"/>
      <c r="BW52" s="7">
        <v>45867.53729907407</v>
      </c>
      <c r="BX52" s="8" t="s">
        <v>188</v>
      </c>
      <c r="BY52" s="8"/>
      <c r="BZ52" s="8" t="s">
        <v>195</v>
      </c>
      <c r="CA52" s="8" t="s">
        <v>195</v>
      </c>
      <c r="CB52" s="8" t="s">
        <v>195</v>
      </c>
      <c r="CC52" s="8" t="s">
        <v>195</v>
      </c>
      <c r="CD52" s="8" t="s">
        <v>195</v>
      </c>
      <c r="CE52" s="8" t="s">
        <v>195</v>
      </c>
      <c r="CF52" s="8" t="s">
        <v>195</v>
      </c>
      <c r="CG52" s="8" t="s">
        <v>195</v>
      </c>
      <c r="CH52" s="8"/>
      <c r="CI52" s="8" t="s">
        <v>195</v>
      </c>
      <c r="CJ52" s="8" t="s">
        <v>196</v>
      </c>
      <c r="CK52" s="8" t="s">
        <v>197</v>
      </c>
      <c r="CL52" s="8">
        <v>123.0</v>
      </c>
      <c r="CM52" s="8" t="s">
        <v>197</v>
      </c>
      <c r="CN52" s="8" t="s">
        <v>198</v>
      </c>
      <c r="CO52" s="8" t="s">
        <v>223</v>
      </c>
      <c r="CP52" s="11">
        <v>45867.53588642361</v>
      </c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 t="s">
        <v>203</v>
      </c>
      <c r="EB52" s="10"/>
      <c r="EC52" s="10"/>
      <c r="ED52" s="10">
        <v>45867.53765046296</v>
      </c>
    </row>
    <row r="53" ht="22.5" customHeight="1">
      <c r="A53" s="12">
        <v>45867.54428243056</v>
      </c>
      <c r="B53" s="6"/>
      <c r="C53" s="8"/>
      <c r="D53" s="8"/>
      <c r="E53" s="8" t="s">
        <v>136</v>
      </c>
      <c r="F53" s="7">
        <v>45867.0</v>
      </c>
      <c r="G53" s="8" t="s">
        <v>183</v>
      </c>
      <c r="H53" s="8" t="s">
        <v>135</v>
      </c>
      <c r="I53" s="7">
        <v>45867.0</v>
      </c>
      <c r="J53" s="8" t="s">
        <v>138</v>
      </c>
      <c r="K53" s="8" t="s">
        <v>139</v>
      </c>
      <c r="L53" s="8" t="s">
        <v>140</v>
      </c>
      <c r="M53" s="8">
        <v>2.50729052E8</v>
      </c>
      <c r="N53" s="8" t="s">
        <v>151</v>
      </c>
      <c r="O53" s="8" t="s">
        <v>152</v>
      </c>
      <c r="P53" s="8" t="s">
        <v>153</v>
      </c>
      <c r="Q53" s="8" t="s">
        <v>152</v>
      </c>
      <c r="R53" s="8" t="s">
        <v>154</v>
      </c>
      <c r="S53" s="8" t="s">
        <v>155</v>
      </c>
      <c r="T53" s="8">
        <v>123.0</v>
      </c>
      <c r="U53" s="8" t="s">
        <v>156</v>
      </c>
      <c r="V53" s="8" t="s">
        <v>135</v>
      </c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 t="s">
        <v>137</v>
      </c>
      <c r="BG53" s="7"/>
      <c r="BH53" s="8"/>
      <c r="BI53" s="8" t="s">
        <v>163</v>
      </c>
      <c r="BJ53" s="8"/>
      <c r="BK53" s="7">
        <v>45867.0</v>
      </c>
      <c r="BL53" s="8"/>
      <c r="BM53" s="9"/>
      <c r="BN53" s="9"/>
      <c r="BO53" s="8" t="s">
        <v>224</v>
      </c>
      <c r="BP53" s="8"/>
      <c r="BQ53" s="8"/>
      <c r="BR53" s="8"/>
      <c r="BS53" s="8"/>
      <c r="BT53" s="8"/>
      <c r="BU53" s="7"/>
      <c r="BV53" s="7"/>
      <c r="BW53" s="7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11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10"/>
      <c r="EC53" s="10"/>
      <c r="ED53" s="10"/>
    </row>
    <row r="54" ht="22.5" customHeight="1">
      <c r="A54" s="12">
        <v>45867.54879216435</v>
      </c>
      <c r="B54" s="6"/>
      <c r="C54" s="8"/>
      <c r="D54" s="8"/>
      <c r="E54" s="8" t="s">
        <v>136</v>
      </c>
      <c r="F54" s="7">
        <v>45867.0</v>
      </c>
      <c r="G54" s="8" t="s">
        <v>183</v>
      </c>
      <c r="H54" s="8" t="s">
        <v>135</v>
      </c>
      <c r="I54" s="7">
        <v>45867.0</v>
      </c>
      <c r="J54" s="8" t="s">
        <v>138</v>
      </c>
      <c r="K54" s="8" t="s">
        <v>139</v>
      </c>
      <c r="L54" s="8" t="s">
        <v>140</v>
      </c>
      <c r="M54" s="8">
        <v>2.50729053E8</v>
      </c>
      <c r="N54" s="8" t="s">
        <v>151</v>
      </c>
      <c r="O54" s="8" t="s">
        <v>152</v>
      </c>
      <c r="P54" s="8" t="s">
        <v>153</v>
      </c>
      <c r="Q54" s="8" t="s">
        <v>152</v>
      </c>
      <c r="R54" s="8" t="s">
        <v>154</v>
      </c>
      <c r="S54" s="8" t="s">
        <v>155</v>
      </c>
      <c r="T54" s="8">
        <v>123.0</v>
      </c>
      <c r="U54" s="8" t="s">
        <v>156</v>
      </c>
      <c r="V54" s="8" t="s">
        <v>135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 t="s">
        <v>183</v>
      </c>
      <c r="BG54" s="7"/>
      <c r="BH54" s="8"/>
      <c r="BI54" s="8" t="s">
        <v>163</v>
      </c>
      <c r="BJ54" s="8"/>
      <c r="BK54" s="7">
        <v>45867.0</v>
      </c>
      <c r="BL54" s="8"/>
      <c r="BM54" s="9"/>
      <c r="BN54" s="9"/>
      <c r="BO54" s="8" t="s">
        <v>225</v>
      </c>
      <c r="BP54" s="8"/>
      <c r="BQ54" s="8"/>
      <c r="BR54" s="8"/>
      <c r="BS54" s="8"/>
      <c r="BT54" s="8"/>
      <c r="BU54" s="7"/>
      <c r="BV54" s="7"/>
      <c r="BW54" s="7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11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10"/>
      <c r="EC54" s="10"/>
      <c r="ED54" s="10"/>
    </row>
    <row r="55" ht="22.5" customHeight="1">
      <c r="A55" s="12">
        <v>45867.55543366898</v>
      </c>
      <c r="B55" s="6"/>
      <c r="C55" s="8" t="s">
        <v>226</v>
      </c>
      <c r="D55" s="8"/>
      <c r="E55" s="8" t="s">
        <v>136</v>
      </c>
      <c r="F55" s="7">
        <v>45867.0</v>
      </c>
      <c r="G55" s="8" t="s">
        <v>183</v>
      </c>
      <c r="H55" s="8" t="s">
        <v>135</v>
      </c>
      <c r="I55" s="7">
        <v>45867.0</v>
      </c>
      <c r="J55" s="8" t="s">
        <v>138</v>
      </c>
      <c r="K55" s="8" t="s">
        <v>139</v>
      </c>
      <c r="L55" s="8" t="s">
        <v>140</v>
      </c>
      <c r="M55" s="8">
        <v>2.50729054E8</v>
      </c>
      <c r="N55" s="8" t="s">
        <v>151</v>
      </c>
      <c r="O55" s="8" t="s">
        <v>152</v>
      </c>
      <c r="P55" s="8" t="s">
        <v>153</v>
      </c>
      <c r="Q55" s="8" t="s">
        <v>152</v>
      </c>
      <c r="R55" s="8" t="s">
        <v>154</v>
      </c>
      <c r="S55" s="8" t="s">
        <v>155</v>
      </c>
      <c r="T55" s="8">
        <v>123.0</v>
      </c>
      <c r="U55" s="8" t="s">
        <v>156</v>
      </c>
      <c r="V55" s="8" t="s">
        <v>135</v>
      </c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 t="s">
        <v>183</v>
      </c>
      <c r="BG55" s="7"/>
      <c r="BH55" s="8"/>
      <c r="BI55" s="8" t="s">
        <v>163</v>
      </c>
      <c r="BJ55" s="8"/>
      <c r="BK55" s="7">
        <v>45875.0</v>
      </c>
      <c r="BL55" s="8"/>
      <c r="BM55" s="9"/>
      <c r="BN55" s="9"/>
      <c r="BO55" s="8" t="s">
        <v>227</v>
      </c>
      <c r="BP55" s="8"/>
      <c r="BQ55" s="8">
        <v>123.0</v>
      </c>
      <c r="BR55" s="8">
        <v>123.0</v>
      </c>
      <c r="BS55" s="8">
        <v>123.0</v>
      </c>
      <c r="BT55" s="8" t="s">
        <v>136</v>
      </c>
      <c r="BU55" s="7"/>
      <c r="BV55" s="7"/>
      <c r="BW55" s="7">
        <v>45867.55598671296</v>
      </c>
      <c r="BX55" s="8" t="s">
        <v>228</v>
      </c>
      <c r="BY55" s="8" t="s">
        <v>172</v>
      </c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11">
        <v>45867.55842715278</v>
      </c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10"/>
      <c r="EC55" s="10"/>
      <c r="ED55" s="10"/>
    </row>
    <row r="56" ht="22.5" customHeight="1">
      <c r="A56" s="12">
        <v>45867.5845209838</v>
      </c>
      <c r="B56" s="6"/>
      <c r="C56" s="8" t="s">
        <v>229</v>
      </c>
      <c r="D56" s="8"/>
      <c r="E56" s="8" t="s">
        <v>136</v>
      </c>
      <c r="F56" s="7">
        <v>45867.0</v>
      </c>
      <c r="G56" s="8" t="s">
        <v>183</v>
      </c>
      <c r="H56" s="8" t="s">
        <v>135</v>
      </c>
      <c r="I56" s="7">
        <v>45867.0</v>
      </c>
      <c r="J56" s="8" t="s">
        <v>138</v>
      </c>
      <c r="K56" s="8" t="s">
        <v>139</v>
      </c>
      <c r="L56" s="8" t="s">
        <v>140</v>
      </c>
      <c r="M56" s="8">
        <v>2.50729055E8</v>
      </c>
      <c r="N56" s="8" t="s">
        <v>151</v>
      </c>
      <c r="O56" s="8" t="s">
        <v>152</v>
      </c>
      <c r="P56" s="8" t="s">
        <v>153</v>
      </c>
      <c r="Q56" s="8" t="s">
        <v>152</v>
      </c>
      <c r="R56" s="8" t="s">
        <v>154</v>
      </c>
      <c r="S56" s="8" t="s">
        <v>230</v>
      </c>
      <c r="T56" s="8" t="s">
        <v>231</v>
      </c>
      <c r="U56" s="8" t="s">
        <v>183</v>
      </c>
      <c r="V56" s="8" t="s">
        <v>135</v>
      </c>
      <c r="W56" s="8"/>
      <c r="X56" s="8"/>
      <c r="Y56" s="8"/>
      <c r="Z56" s="8" t="s">
        <v>147</v>
      </c>
      <c r="AA56" s="8" t="s">
        <v>147</v>
      </c>
      <c r="AB56" s="8" t="s">
        <v>147</v>
      </c>
      <c r="AC56" s="8" t="s">
        <v>147</v>
      </c>
      <c r="AD56" s="8" t="s">
        <v>147</v>
      </c>
      <c r="AE56" s="8" t="s">
        <v>147</v>
      </c>
      <c r="AF56" s="8" t="s">
        <v>147</v>
      </c>
      <c r="AG56" s="8" t="s">
        <v>147</v>
      </c>
      <c r="AH56" s="8" t="s">
        <v>147</v>
      </c>
      <c r="AI56" s="8" t="s">
        <v>147</v>
      </c>
      <c r="AJ56" s="8" t="s">
        <v>147</v>
      </c>
      <c r="AK56" s="8" t="s">
        <v>147</v>
      </c>
      <c r="AL56" s="8" t="s">
        <v>147</v>
      </c>
      <c r="AM56" s="8" t="s">
        <v>147</v>
      </c>
      <c r="AN56" s="8" t="s">
        <v>147</v>
      </c>
      <c r="AO56" s="8" t="s">
        <v>147</v>
      </c>
      <c r="AP56" s="8" t="s">
        <v>147</v>
      </c>
      <c r="AQ56" s="8" t="s">
        <v>147</v>
      </c>
      <c r="AR56" s="8" t="s">
        <v>147</v>
      </c>
      <c r="AS56" s="8" t="s">
        <v>136</v>
      </c>
      <c r="AT56" s="8" t="s">
        <v>159</v>
      </c>
      <c r="AU56" s="8" t="s">
        <v>136</v>
      </c>
      <c r="AV56" s="8" t="s">
        <v>159</v>
      </c>
      <c r="AW56" s="8">
        <v>123.0</v>
      </c>
      <c r="AX56" s="8" t="s">
        <v>232</v>
      </c>
      <c r="AY56" s="8" t="s">
        <v>232</v>
      </c>
      <c r="AZ56" s="8" t="s">
        <v>233</v>
      </c>
      <c r="BA56" s="8" t="s">
        <v>234</v>
      </c>
      <c r="BB56" s="8" t="s">
        <v>235</v>
      </c>
      <c r="BC56" s="8"/>
      <c r="BD56" s="8"/>
      <c r="BE56" s="8"/>
      <c r="BF56" s="8" t="s">
        <v>183</v>
      </c>
      <c r="BG56" s="7"/>
      <c r="BH56" s="8" t="s">
        <v>147</v>
      </c>
      <c r="BI56" s="8" t="s">
        <v>136</v>
      </c>
      <c r="BJ56" s="8"/>
      <c r="BK56" s="7">
        <v>45874.0</v>
      </c>
      <c r="BL56" s="8" t="s">
        <v>147</v>
      </c>
      <c r="BM56" s="9"/>
      <c r="BN56" s="9"/>
      <c r="BO56" s="8" t="s">
        <v>236</v>
      </c>
      <c r="BP56" s="8"/>
      <c r="BQ56" s="8"/>
      <c r="BR56" s="8"/>
      <c r="BS56" s="8"/>
      <c r="BT56" s="8"/>
      <c r="BU56" s="7"/>
      <c r="BV56" s="7"/>
      <c r="BW56" s="7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11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10"/>
      <c r="EC56" s="10"/>
      <c r="ED56" s="10"/>
    </row>
    <row r="57" ht="22.5" customHeight="1">
      <c r="A57" s="12">
        <v>45867.58838188657</v>
      </c>
      <c r="B57" s="6"/>
      <c r="C57" s="8" t="s">
        <v>229</v>
      </c>
      <c r="D57" s="8"/>
      <c r="E57" s="8" t="s">
        <v>136</v>
      </c>
      <c r="F57" s="7">
        <v>45867.0</v>
      </c>
      <c r="G57" s="8" t="s">
        <v>183</v>
      </c>
      <c r="H57" s="8" t="s">
        <v>135</v>
      </c>
      <c r="I57" s="7">
        <v>45874.0</v>
      </c>
      <c r="J57" s="8" t="s">
        <v>138</v>
      </c>
      <c r="K57" s="8" t="s">
        <v>139</v>
      </c>
      <c r="L57" s="8" t="s">
        <v>140</v>
      </c>
      <c r="M57" s="8">
        <v>2.50729056E8</v>
      </c>
      <c r="N57" s="8" t="s">
        <v>151</v>
      </c>
      <c r="O57" s="8" t="s">
        <v>152</v>
      </c>
      <c r="P57" s="8" t="s">
        <v>153</v>
      </c>
      <c r="Q57" s="8" t="s">
        <v>152</v>
      </c>
      <c r="R57" s="8" t="s">
        <v>154</v>
      </c>
      <c r="S57" s="8" t="s">
        <v>237</v>
      </c>
      <c r="T57" s="8" t="s">
        <v>238</v>
      </c>
      <c r="U57" s="8" t="s">
        <v>156</v>
      </c>
      <c r="V57" s="8" t="s">
        <v>135</v>
      </c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 t="s">
        <v>183</v>
      </c>
      <c r="BG57" s="7"/>
      <c r="BH57" s="8"/>
      <c r="BI57" s="8" t="s">
        <v>163</v>
      </c>
      <c r="BJ57" s="8"/>
      <c r="BK57" s="7">
        <v>45867.0</v>
      </c>
      <c r="BL57" s="8"/>
      <c r="BM57" s="9"/>
      <c r="BN57" s="9"/>
      <c r="BO57" s="8" t="s">
        <v>239</v>
      </c>
      <c r="BP57" s="8"/>
      <c r="BQ57" s="8"/>
      <c r="BR57" s="8"/>
      <c r="BS57" s="8"/>
      <c r="BT57" s="8"/>
      <c r="BU57" s="7"/>
      <c r="BV57" s="7"/>
      <c r="BW57" s="7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11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10"/>
      <c r="EC57" s="10"/>
      <c r="ED57" s="10"/>
    </row>
    <row r="58" ht="22.5" customHeight="1">
      <c r="A58" s="12">
        <v>45867.59309188658</v>
      </c>
      <c r="B58" s="6"/>
      <c r="C58" s="8" t="s">
        <v>229</v>
      </c>
      <c r="D58" s="8"/>
      <c r="E58" s="8" t="s">
        <v>136</v>
      </c>
      <c r="F58" s="7">
        <v>45867.0</v>
      </c>
      <c r="G58" s="8" t="s">
        <v>183</v>
      </c>
      <c r="H58" s="8" t="s">
        <v>135</v>
      </c>
      <c r="I58" s="7">
        <v>45874.0</v>
      </c>
      <c r="J58" s="8" t="s">
        <v>138</v>
      </c>
      <c r="K58" s="8" t="s">
        <v>139</v>
      </c>
      <c r="L58" s="8" t="s">
        <v>150</v>
      </c>
      <c r="M58" s="8">
        <v>2.50729057E8</v>
      </c>
      <c r="N58" s="8" t="s">
        <v>151</v>
      </c>
      <c r="O58" s="8" t="s">
        <v>152</v>
      </c>
      <c r="P58" s="8" t="s">
        <v>153</v>
      </c>
      <c r="Q58" s="8" t="s">
        <v>152</v>
      </c>
      <c r="R58" s="8" t="s">
        <v>154</v>
      </c>
      <c r="S58" s="8" t="s">
        <v>237</v>
      </c>
      <c r="T58" s="8" t="s">
        <v>238</v>
      </c>
      <c r="U58" s="8" t="s">
        <v>156</v>
      </c>
      <c r="V58" s="8" t="s">
        <v>135</v>
      </c>
      <c r="W58" s="8"/>
      <c r="X58" s="8"/>
      <c r="Y58" s="8"/>
      <c r="Z58" s="8"/>
      <c r="AA58" s="8"/>
      <c r="AB58" s="8"/>
      <c r="AC58" s="8"/>
      <c r="AD58" s="8" t="s">
        <v>147</v>
      </c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 t="s">
        <v>147</v>
      </c>
      <c r="AR58" s="8"/>
      <c r="AS58" s="8" t="s">
        <v>136</v>
      </c>
      <c r="AT58" s="8" t="s">
        <v>159</v>
      </c>
      <c r="AU58" s="8"/>
      <c r="AV58" s="8"/>
      <c r="AW58" s="8"/>
      <c r="AX58" s="8"/>
      <c r="AY58" s="8"/>
      <c r="AZ58" s="8" t="s">
        <v>240</v>
      </c>
      <c r="BA58" s="8"/>
      <c r="BB58" s="8"/>
      <c r="BC58" s="8"/>
      <c r="BD58" s="8"/>
      <c r="BE58" s="8"/>
      <c r="BF58" s="8" t="s">
        <v>137</v>
      </c>
      <c r="BG58" s="7"/>
      <c r="BH58" s="8"/>
      <c r="BI58" s="8" t="s">
        <v>163</v>
      </c>
      <c r="BJ58" s="8" t="s">
        <v>219</v>
      </c>
      <c r="BK58" s="7">
        <v>45874.0</v>
      </c>
      <c r="BL58" s="8"/>
      <c r="BM58" s="9"/>
      <c r="BN58" s="9"/>
      <c r="BO58" s="8" t="s">
        <v>241</v>
      </c>
      <c r="BP58" s="8"/>
      <c r="BQ58" s="8"/>
      <c r="BR58" s="8"/>
      <c r="BS58" s="8"/>
      <c r="BT58" s="8"/>
      <c r="BU58" s="7"/>
      <c r="BV58" s="7"/>
      <c r="BW58" s="7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11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10"/>
      <c r="EC58" s="10"/>
      <c r="ED58" s="10"/>
    </row>
    <row r="59" ht="22.5" customHeight="1">
      <c r="A59" s="12">
        <v>45867.599922546295</v>
      </c>
      <c r="B59" s="6"/>
      <c r="C59" s="8" t="s">
        <v>229</v>
      </c>
      <c r="D59" s="8"/>
      <c r="E59" s="8" t="s">
        <v>136</v>
      </c>
      <c r="F59" s="7">
        <v>45867.0</v>
      </c>
      <c r="G59" s="8" t="s">
        <v>183</v>
      </c>
      <c r="H59" s="8" t="s">
        <v>135</v>
      </c>
      <c r="I59" s="7">
        <v>45874.0</v>
      </c>
      <c r="J59" s="8" t="s">
        <v>138</v>
      </c>
      <c r="K59" s="8" t="s">
        <v>139</v>
      </c>
      <c r="L59" s="8" t="s">
        <v>140</v>
      </c>
      <c r="M59" s="8">
        <v>2.50729058E8</v>
      </c>
      <c r="N59" s="8" t="s">
        <v>151</v>
      </c>
      <c r="O59" s="8" t="s">
        <v>152</v>
      </c>
      <c r="P59" s="8" t="s">
        <v>153</v>
      </c>
      <c r="Q59" s="8" t="s">
        <v>152</v>
      </c>
      <c r="R59" s="8" t="s">
        <v>154</v>
      </c>
      <c r="S59" s="8" t="s">
        <v>209</v>
      </c>
      <c r="T59" s="8" t="s">
        <v>242</v>
      </c>
      <c r="U59" s="8" t="s">
        <v>156</v>
      </c>
      <c r="V59" s="8" t="s">
        <v>135</v>
      </c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 t="s">
        <v>137</v>
      </c>
      <c r="BG59" s="7"/>
      <c r="BH59" s="8"/>
      <c r="BI59" s="8" t="s">
        <v>163</v>
      </c>
      <c r="BJ59" s="8"/>
      <c r="BK59" s="7"/>
      <c r="BL59" s="8"/>
      <c r="BM59" s="9"/>
      <c r="BN59" s="9"/>
      <c r="BO59" s="8" t="s">
        <v>243</v>
      </c>
      <c r="BP59" s="8"/>
      <c r="BQ59" s="8"/>
      <c r="BR59" s="8"/>
      <c r="BS59" s="8"/>
      <c r="BT59" s="8"/>
      <c r="BU59" s="7"/>
      <c r="BV59" s="7"/>
      <c r="BW59" s="7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11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10"/>
      <c r="EC59" s="10"/>
      <c r="ED59" s="10"/>
    </row>
    <row r="60" ht="22.5" customHeight="1">
      <c r="A60" s="12">
        <v>45867.60878956018</v>
      </c>
      <c r="B60" s="6"/>
      <c r="C60" s="8" t="s">
        <v>244</v>
      </c>
      <c r="D60" s="8"/>
      <c r="E60" s="8" t="s">
        <v>136</v>
      </c>
      <c r="F60" s="7">
        <v>45867.0</v>
      </c>
      <c r="G60" s="8" t="s">
        <v>137</v>
      </c>
      <c r="H60" s="8" t="s">
        <v>135</v>
      </c>
      <c r="I60" s="7">
        <v>45874.0</v>
      </c>
      <c r="J60" s="8" t="s">
        <v>138</v>
      </c>
      <c r="K60" s="8" t="s">
        <v>139</v>
      </c>
      <c r="L60" s="8" t="s">
        <v>140</v>
      </c>
      <c r="M60" s="8">
        <v>2.50729059E8</v>
      </c>
      <c r="N60" s="8" t="s">
        <v>151</v>
      </c>
      <c r="O60" s="8" t="s">
        <v>152</v>
      </c>
      <c r="P60" s="8" t="s">
        <v>153</v>
      </c>
      <c r="Q60" s="8" t="s">
        <v>152</v>
      </c>
      <c r="R60" s="8" t="s">
        <v>154</v>
      </c>
      <c r="S60" s="8" t="s">
        <v>209</v>
      </c>
      <c r="T60" s="8" t="s">
        <v>242</v>
      </c>
      <c r="U60" s="8" t="s">
        <v>156</v>
      </c>
      <c r="V60" s="8" t="s">
        <v>135</v>
      </c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 t="s">
        <v>137</v>
      </c>
      <c r="BG60" s="7"/>
      <c r="BH60" s="8"/>
      <c r="BI60" s="8" t="s">
        <v>163</v>
      </c>
      <c r="BJ60" s="8"/>
      <c r="BK60" s="7">
        <v>45867.0</v>
      </c>
      <c r="BL60" s="8"/>
      <c r="BM60" s="9"/>
      <c r="BN60" s="9"/>
      <c r="BO60" s="8" t="s">
        <v>245</v>
      </c>
      <c r="BP60" s="8"/>
      <c r="BQ60" s="8">
        <v>123.0</v>
      </c>
      <c r="BR60" s="8" t="s">
        <v>246</v>
      </c>
      <c r="BS60" s="8">
        <v>123.0</v>
      </c>
      <c r="BT60" s="8" t="s">
        <v>136</v>
      </c>
      <c r="BU60" s="7"/>
      <c r="BV60" s="7"/>
      <c r="BW60" s="7">
        <v>45867.61118309028</v>
      </c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11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10"/>
      <c r="EC60" s="10"/>
      <c r="ED60" s="10"/>
    </row>
    <row r="61" ht="22.5" customHeight="1">
      <c r="A61" s="12">
        <v>45867.62260074074</v>
      </c>
      <c r="B61" s="6"/>
      <c r="C61" s="8" t="s">
        <v>202</v>
      </c>
      <c r="D61" s="8"/>
      <c r="E61" s="8" t="s">
        <v>136</v>
      </c>
      <c r="F61" s="7">
        <v>45867.0</v>
      </c>
      <c r="G61" s="8" t="s">
        <v>137</v>
      </c>
      <c r="H61" s="8" t="s">
        <v>135</v>
      </c>
      <c r="I61" s="7"/>
      <c r="J61" s="8" t="s">
        <v>138</v>
      </c>
      <c r="K61" s="8" t="s">
        <v>139</v>
      </c>
      <c r="L61" s="8" t="s">
        <v>140</v>
      </c>
      <c r="M61" s="8">
        <v>2.5072906E8</v>
      </c>
      <c r="N61" s="8" t="s">
        <v>151</v>
      </c>
      <c r="O61" s="8" t="s">
        <v>152</v>
      </c>
      <c r="P61" s="8" t="s">
        <v>153</v>
      </c>
      <c r="Q61" s="8" t="s">
        <v>152</v>
      </c>
      <c r="R61" s="8" t="s">
        <v>154</v>
      </c>
      <c r="S61" s="8" t="s">
        <v>247</v>
      </c>
      <c r="T61" s="8" t="s">
        <v>248</v>
      </c>
      <c r="U61" s="8" t="s">
        <v>156</v>
      </c>
      <c r="V61" s="8" t="s">
        <v>135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 t="s">
        <v>147</v>
      </c>
      <c r="AO61" s="8"/>
      <c r="AP61" s="8" t="s">
        <v>147</v>
      </c>
      <c r="AQ61" s="8" t="s">
        <v>147</v>
      </c>
      <c r="AR61" s="8"/>
      <c r="AS61" s="8" t="s">
        <v>136</v>
      </c>
      <c r="AT61" s="8" t="s">
        <v>159</v>
      </c>
      <c r="AU61" s="8" t="s">
        <v>136</v>
      </c>
      <c r="AV61" s="8" t="s">
        <v>159</v>
      </c>
      <c r="AW61" s="8">
        <v>123.0</v>
      </c>
      <c r="AX61" s="8"/>
      <c r="AY61" s="8"/>
      <c r="AZ61" s="8"/>
      <c r="BA61" s="8"/>
      <c r="BB61" s="8"/>
      <c r="BC61" s="8"/>
      <c r="BD61" s="8"/>
      <c r="BE61" s="8"/>
      <c r="BF61" s="8" t="s">
        <v>137</v>
      </c>
      <c r="BG61" s="7"/>
      <c r="BH61" s="8"/>
      <c r="BI61" s="8" t="s">
        <v>136</v>
      </c>
      <c r="BJ61" s="8"/>
      <c r="BK61" s="7">
        <v>45873.0</v>
      </c>
      <c r="BL61" s="8"/>
      <c r="BM61" s="9"/>
      <c r="BN61" s="9"/>
      <c r="BO61" s="8" t="s">
        <v>249</v>
      </c>
      <c r="BP61" s="8"/>
      <c r="BQ61" s="8">
        <v>123.0</v>
      </c>
      <c r="BR61" s="8" t="s">
        <v>250</v>
      </c>
      <c r="BS61" s="8">
        <v>123.0</v>
      </c>
      <c r="BT61" s="8" t="s">
        <v>136</v>
      </c>
      <c r="BU61" s="7"/>
      <c r="BV61" s="7"/>
      <c r="BW61" s="7">
        <v>45867.62397212963</v>
      </c>
      <c r="BX61" s="8" t="s">
        <v>202</v>
      </c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>
        <v>123.0</v>
      </c>
      <c r="CM61" s="8" t="s">
        <v>197</v>
      </c>
      <c r="CN61" s="8" t="s">
        <v>198</v>
      </c>
      <c r="CO61" s="8" t="s">
        <v>223</v>
      </c>
      <c r="CP61" s="11">
        <v>45867.62460070602</v>
      </c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 t="s">
        <v>203</v>
      </c>
      <c r="EB61" s="10"/>
      <c r="EC61" s="10"/>
      <c r="ED61" s="10">
        <v>45867.62509259259</v>
      </c>
    </row>
    <row r="62" ht="22.5" customHeight="1">
      <c r="A62" s="12">
        <v>45867.63030684028</v>
      </c>
      <c r="B62" s="6"/>
      <c r="C62" s="8" t="s">
        <v>229</v>
      </c>
      <c r="D62" s="8"/>
      <c r="E62" s="8" t="s">
        <v>136</v>
      </c>
      <c r="F62" s="7">
        <v>45867.0</v>
      </c>
      <c r="G62" s="8" t="s">
        <v>137</v>
      </c>
      <c r="H62" s="8" t="s">
        <v>135</v>
      </c>
      <c r="I62" s="7"/>
      <c r="J62" s="8" t="s">
        <v>138</v>
      </c>
      <c r="K62" s="8" t="s">
        <v>139</v>
      </c>
      <c r="L62" s="8" t="s">
        <v>140</v>
      </c>
      <c r="M62" s="8">
        <v>2.50729061E8</v>
      </c>
      <c r="N62" s="8" t="s">
        <v>151</v>
      </c>
      <c r="O62" s="8" t="s">
        <v>152</v>
      </c>
      <c r="P62" s="8" t="s">
        <v>153</v>
      </c>
      <c r="Q62" s="8" t="s">
        <v>152</v>
      </c>
      <c r="R62" s="8" t="s">
        <v>154</v>
      </c>
      <c r="S62" s="8" t="s">
        <v>251</v>
      </c>
      <c r="T62" s="8" t="s">
        <v>252</v>
      </c>
      <c r="U62" s="8" t="s">
        <v>183</v>
      </c>
      <c r="V62" s="8" t="s">
        <v>135</v>
      </c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 t="s">
        <v>137</v>
      </c>
      <c r="BG62" s="7"/>
      <c r="BH62" s="8"/>
      <c r="BI62" s="8" t="s">
        <v>163</v>
      </c>
      <c r="BJ62" s="8"/>
      <c r="BK62" s="7">
        <v>45874.0</v>
      </c>
      <c r="BL62" s="8"/>
      <c r="BM62" s="9"/>
      <c r="BN62" s="9"/>
      <c r="BO62" s="8" t="s">
        <v>253</v>
      </c>
      <c r="BP62" s="8"/>
      <c r="BQ62" s="8"/>
      <c r="BR62" s="8"/>
      <c r="BS62" s="8"/>
      <c r="BT62" s="8"/>
      <c r="BU62" s="7"/>
      <c r="BV62" s="7"/>
      <c r="BW62" s="7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11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10"/>
      <c r="EC62" s="10"/>
      <c r="ED62" s="10"/>
    </row>
    <row r="63" ht="22.5" customHeight="1">
      <c r="A63" s="12"/>
      <c r="B63" s="6"/>
      <c r="C63" s="8" t="s">
        <v>202</v>
      </c>
      <c r="D63" s="8"/>
      <c r="E63" s="8" t="s">
        <v>136</v>
      </c>
      <c r="F63" s="7">
        <v>45867.0</v>
      </c>
      <c r="G63" s="8" t="s">
        <v>137</v>
      </c>
      <c r="H63" s="8" t="s">
        <v>135</v>
      </c>
      <c r="I63" s="7">
        <v>45875.0</v>
      </c>
      <c r="J63" s="8" t="s">
        <v>138</v>
      </c>
      <c r="K63" s="8" t="s">
        <v>139</v>
      </c>
      <c r="L63" s="8" t="s">
        <v>140</v>
      </c>
      <c r="M63" s="8">
        <v>2.50729062E8</v>
      </c>
      <c r="N63" s="8" t="s">
        <v>151</v>
      </c>
      <c r="O63" s="8" t="s">
        <v>133</v>
      </c>
      <c r="P63" s="8" t="s">
        <v>153</v>
      </c>
      <c r="Q63" s="8" t="s">
        <v>254</v>
      </c>
      <c r="R63" s="8" t="s">
        <v>154</v>
      </c>
      <c r="S63" s="8" t="s">
        <v>251</v>
      </c>
      <c r="T63" s="8" t="s">
        <v>252</v>
      </c>
      <c r="U63" s="8" t="s">
        <v>183</v>
      </c>
      <c r="V63" s="8" t="s">
        <v>135</v>
      </c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 t="s">
        <v>137</v>
      </c>
      <c r="BG63" s="7"/>
      <c r="BH63" s="8"/>
      <c r="BI63" s="8" t="s">
        <v>163</v>
      </c>
      <c r="BJ63" s="8"/>
      <c r="BK63" s="7">
        <v>45867.0</v>
      </c>
      <c r="BL63" s="8"/>
      <c r="BM63" s="9"/>
      <c r="BN63" s="9"/>
      <c r="BO63" s="8" t="s">
        <v>255</v>
      </c>
      <c r="BP63" s="8"/>
      <c r="BQ63" s="8">
        <v>123.0</v>
      </c>
      <c r="BR63" s="8" t="s">
        <v>256</v>
      </c>
      <c r="BS63" s="8">
        <v>123.0</v>
      </c>
      <c r="BT63" s="8" t="s">
        <v>136</v>
      </c>
      <c r="BU63" s="7"/>
      <c r="BV63" s="7"/>
      <c r="BW63" s="7">
        <v>45867.63691163194</v>
      </c>
      <c r="BX63" s="8" t="s">
        <v>202</v>
      </c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11">
        <v>45867.63854743056</v>
      </c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 t="s">
        <v>203</v>
      </c>
      <c r="EB63" s="10"/>
      <c r="EC63" s="10"/>
      <c r="ED63" s="10">
        <v>45867.639444444445</v>
      </c>
    </row>
    <row r="64" ht="22.5" customHeight="1">
      <c r="A64" s="12">
        <v>45867.65915564814</v>
      </c>
      <c r="B64" s="6"/>
      <c r="C64" s="8" t="s">
        <v>202</v>
      </c>
      <c r="D64" s="8"/>
      <c r="E64" s="8" t="s">
        <v>136</v>
      </c>
      <c r="F64" s="7">
        <v>45867.0</v>
      </c>
      <c r="G64" s="8" t="s">
        <v>137</v>
      </c>
      <c r="H64" s="8" t="s">
        <v>135</v>
      </c>
      <c r="I64" s="7">
        <v>45876.0</v>
      </c>
      <c r="J64" s="8" t="s">
        <v>138</v>
      </c>
      <c r="K64" s="8" t="s">
        <v>139</v>
      </c>
      <c r="L64" s="8" t="s">
        <v>140</v>
      </c>
      <c r="M64" s="8">
        <v>2.50729063E8</v>
      </c>
      <c r="N64" s="8" t="s">
        <v>151</v>
      </c>
      <c r="O64" s="8" t="s">
        <v>152</v>
      </c>
      <c r="P64" s="8" t="s">
        <v>153</v>
      </c>
      <c r="Q64" s="8" t="s">
        <v>152</v>
      </c>
      <c r="R64" s="8" t="s">
        <v>154</v>
      </c>
      <c r="S64" s="8" t="s">
        <v>247</v>
      </c>
      <c r="T64" s="8" t="s">
        <v>248</v>
      </c>
      <c r="U64" s="8" t="s">
        <v>183</v>
      </c>
      <c r="V64" s="8" t="s">
        <v>135</v>
      </c>
      <c r="W64" s="8" t="s">
        <v>147</v>
      </c>
      <c r="X64" s="8" t="s">
        <v>147</v>
      </c>
      <c r="Y64" s="8" t="s">
        <v>147</v>
      </c>
      <c r="Z64" s="8" t="s">
        <v>147</v>
      </c>
      <c r="AA64" s="8" t="s">
        <v>147</v>
      </c>
      <c r="AB64" s="8" t="s">
        <v>147</v>
      </c>
      <c r="AC64" s="8" t="s">
        <v>147</v>
      </c>
      <c r="AD64" s="8" t="s">
        <v>147</v>
      </c>
      <c r="AE64" s="8" t="s">
        <v>147</v>
      </c>
      <c r="AF64" s="8" t="s">
        <v>147</v>
      </c>
      <c r="AG64" s="8" t="s">
        <v>147</v>
      </c>
      <c r="AH64" s="8" t="s">
        <v>147</v>
      </c>
      <c r="AI64" s="8" t="s">
        <v>147</v>
      </c>
      <c r="AJ64" s="8" t="s">
        <v>147</v>
      </c>
      <c r="AK64" s="8" t="s">
        <v>147</v>
      </c>
      <c r="AL64" s="8" t="s">
        <v>147</v>
      </c>
      <c r="AM64" s="8" t="s">
        <v>147</v>
      </c>
      <c r="AN64" s="8" t="s">
        <v>147</v>
      </c>
      <c r="AO64" s="8" t="s">
        <v>147</v>
      </c>
      <c r="AP64" s="8" t="s">
        <v>147</v>
      </c>
      <c r="AQ64" s="8" t="s">
        <v>147</v>
      </c>
      <c r="AR64" s="8" t="s">
        <v>147</v>
      </c>
      <c r="AS64" s="8" t="s">
        <v>136</v>
      </c>
      <c r="AT64" s="8" t="s">
        <v>159</v>
      </c>
      <c r="AU64" s="8" t="s">
        <v>136</v>
      </c>
      <c r="AV64" s="8" t="s">
        <v>159</v>
      </c>
      <c r="AW64" s="8">
        <v>123.0</v>
      </c>
      <c r="AX64" s="8" t="s">
        <v>257</v>
      </c>
      <c r="AY64" s="8" t="s">
        <v>257</v>
      </c>
      <c r="AZ64" s="8" t="s">
        <v>258</v>
      </c>
      <c r="BA64" s="8" t="s">
        <v>258</v>
      </c>
      <c r="BB64" s="8" t="s">
        <v>258</v>
      </c>
      <c r="BC64" s="8"/>
      <c r="BD64" s="8"/>
      <c r="BE64" s="8" t="s">
        <v>158</v>
      </c>
      <c r="BF64" s="8" t="s">
        <v>137</v>
      </c>
      <c r="BG64" s="7"/>
      <c r="BH64" s="8" t="s">
        <v>147</v>
      </c>
      <c r="BI64" s="8" t="s">
        <v>136</v>
      </c>
      <c r="BJ64" s="8" t="s">
        <v>185</v>
      </c>
      <c r="BK64" s="7">
        <v>45875.0</v>
      </c>
      <c r="BL64" s="8" t="s">
        <v>147</v>
      </c>
      <c r="BM64" s="9"/>
      <c r="BN64" s="9"/>
      <c r="BO64" s="8" t="s">
        <v>259</v>
      </c>
      <c r="BP64" s="8"/>
      <c r="BQ64" s="8">
        <v>123.0</v>
      </c>
      <c r="BR64" s="8" t="s">
        <v>260</v>
      </c>
      <c r="BS64" s="8" t="s">
        <v>197</v>
      </c>
      <c r="BT64" s="8" t="s">
        <v>136</v>
      </c>
      <c r="BU64" s="8" t="s">
        <v>261</v>
      </c>
      <c r="BV64" s="8" t="s">
        <v>197</v>
      </c>
      <c r="BW64" s="7">
        <v>45867.6603109375</v>
      </c>
      <c r="BX64" s="8" t="s">
        <v>202</v>
      </c>
      <c r="BY64" s="8"/>
      <c r="BZ64" s="8" t="s">
        <v>195</v>
      </c>
      <c r="CA64" s="8" t="s">
        <v>195</v>
      </c>
      <c r="CB64" s="8" t="s">
        <v>195</v>
      </c>
      <c r="CC64" s="8" t="s">
        <v>195</v>
      </c>
      <c r="CD64" s="8" t="s">
        <v>195</v>
      </c>
      <c r="CE64" s="8" t="s">
        <v>195</v>
      </c>
      <c r="CF64" s="8" t="s">
        <v>195</v>
      </c>
      <c r="CG64" s="8" t="s">
        <v>195</v>
      </c>
      <c r="CH64" s="8"/>
      <c r="CI64" s="8" t="s">
        <v>195</v>
      </c>
      <c r="CJ64" s="8" t="s">
        <v>196</v>
      </c>
      <c r="CK64" s="8" t="s">
        <v>197</v>
      </c>
      <c r="CL64" s="8">
        <v>123.0</v>
      </c>
      <c r="CM64" s="8" t="s">
        <v>197</v>
      </c>
      <c r="CN64" s="8" t="s">
        <v>198</v>
      </c>
      <c r="CO64" s="8" t="s">
        <v>223</v>
      </c>
      <c r="CP64" s="11">
        <v>45867.66179622685</v>
      </c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 t="s">
        <v>203</v>
      </c>
      <c r="EB64" s="10"/>
      <c r="EC64" s="10"/>
      <c r="ED64" s="10">
        <v>45867.66239690973</v>
      </c>
    </row>
    <row r="65" ht="22.5" customHeight="1">
      <c r="A65" s="12">
        <v>45867.67209059028</v>
      </c>
      <c r="B65" s="6"/>
      <c r="C65" s="8" t="s">
        <v>202</v>
      </c>
      <c r="D65" s="8"/>
      <c r="E65" s="8" t="s">
        <v>136</v>
      </c>
      <c r="F65" s="7">
        <v>45867.0</v>
      </c>
      <c r="G65" s="8" t="s">
        <v>137</v>
      </c>
      <c r="H65" s="8" t="s">
        <v>135</v>
      </c>
      <c r="I65" s="7">
        <v>45875.0</v>
      </c>
      <c r="J65" s="8" t="s">
        <v>138</v>
      </c>
      <c r="K65" s="8" t="s">
        <v>139</v>
      </c>
      <c r="L65" s="8" t="s">
        <v>150</v>
      </c>
      <c r="M65" s="8">
        <v>2.50729064E8</v>
      </c>
      <c r="N65" s="8" t="s">
        <v>151</v>
      </c>
      <c r="O65" s="8" t="s">
        <v>152</v>
      </c>
      <c r="P65" s="8" t="s">
        <v>153</v>
      </c>
      <c r="Q65" s="8" t="s">
        <v>152</v>
      </c>
      <c r="R65" s="8" t="s">
        <v>154</v>
      </c>
      <c r="S65" s="8" t="s">
        <v>251</v>
      </c>
      <c r="T65" s="8" t="s">
        <v>252</v>
      </c>
      <c r="U65" s="8" t="s">
        <v>183</v>
      </c>
      <c r="V65" s="8" t="s">
        <v>135</v>
      </c>
      <c r="W65" s="8" t="s">
        <v>147</v>
      </c>
      <c r="X65" s="8" t="s">
        <v>147</v>
      </c>
      <c r="Y65" s="8" t="s">
        <v>147</v>
      </c>
      <c r="Z65" s="8" t="s">
        <v>147</v>
      </c>
      <c r="AA65" s="8" t="s">
        <v>147</v>
      </c>
      <c r="AB65" s="8" t="s">
        <v>147</v>
      </c>
      <c r="AC65" s="8" t="s">
        <v>147</v>
      </c>
      <c r="AD65" s="8" t="s">
        <v>147</v>
      </c>
      <c r="AE65" s="8" t="s">
        <v>147</v>
      </c>
      <c r="AF65" s="8" t="s">
        <v>147</v>
      </c>
      <c r="AG65" s="8" t="s">
        <v>147</v>
      </c>
      <c r="AH65" s="8" t="s">
        <v>147</v>
      </c>
      <c r="AI65" s="8" t="s">
        <v>147</v>
      </c>
      <c r="AJ65" s="8" t="s">
        <v>147</v>
      </c>
      <c r="AK65" s="8" t="s">
        <v>147</v>
      </c>
      <c r="AL65" s="8" t="s">
        <v>147</v>
      </c>
      <c r="AM65" s="8" t="s">
        <v>147</v>
      </c>
      <c r="AN65" s="8" t="s">
        <v>147</v>
      </c>
      <c r="AO65" s="8" t="s">
        <v>147</v>
      </c>
      <c r="AP65" s="8" t="s">
        <v>147</v>
      </c>
      <c r="AQ65" s="8" t="s">
        <v>147</v>
      </c>
      <c r="AR65" s="8" t="s">
        <v>147</v>
      </c>
      <c r="AS65" s="8" t="s">
        <v>136</v>
      </c>
      <c r="AT65" s="8" t="s">
        <v>159</v>
      </c>
      <c r="AU65" s="8" t="s">
        <v>136</v>
      </c>
      <c r="AV65" s="8" t="s">
        <v>159</v>
      </c>
      <c r="AW65" s="8">
        <v>123.0</v>
      </c>
      <c r="AX65" s="8" t="s">
        <v>209</v>
      </c>
      <c r="AY65" s="8" t="s">
        <v>237</v>
      </c>
      <c r="AZ65" s="8" t="s">
        <v>248</v>
      </c>
      <c r="BA65" s="8" t="s">
        <v>231</v>
      </c>
      <c r="BB65" s="8" t="s">
        <v>252</v>
      </c>
      <c r="BC65" s="8"/>
      <c r="BD65" s="8"/>
      <c r="BE65" s="8" t="s">
        <v>158</v>
      </c>
      <c r="BF65" s="8" t="s">
        <v>137</v>
      </c>
      <c r="BG65" s="7"/>
      <c r="BH65" s="8" t="s">
        <v>147</v>
      </c>
      <c r="BI65" s="8" t="s">
        <v>163</v>
      </c>
      <c r="BJ65" s="8" t="s">
        <v>219</v>
      </c>
      <c r="BK65" s="7">
        <v>45874.0</v>
      </c>
      <c r="BL65" s="8" t="s">
        <v>147</v>
      </c>
      <c r="BM65" s="9"/>
      <c r="BN65" s="9"/>
      <c r="BO65" s="8" t="s">
        <v>262</v>
      </c>
      <c r="BP65" s="8"/>
      <c r="BQ65" s="8">
        <v>123.0</v>
      </c>
      <c r="BR65" s="8" t="s">
        <v>256</v>
      </c>
      <c r="BS65" s="8" t="s">
        <v>197</v>
      </c>
      <c r="BT65" s="8" t="s">
        <v>136</v>
      </c>
      <c r="BU65" s="8" t="s">
        <v>261</v>
      </c>
      <c r="BV65" s="8" t="s">
        <v>197</v>
      </c>
      <c r="BW65" s="7">
        <v>45867.673139085644</v>
      </c>
      <c r="BX65" s="8" t="s">
        <v>202</v>
      </c>
      <c r="BY65" s="8"/>
      <c r="BZ65" s="8" t="s">
        <v>195</v>
      </c>
      <c r="CA65" s="8" t="s">
        <v>195</v>
      </c>
      <c r="CB65" s="8" t="s">
        <v>195</v>
      </c>
      <c r="CC65" s="8" t="s">
        <v>195</v>
      </c>
      <c r="CD65" s="8" t="s">
        <v>195</v>
      </c>
      <c r="CE65" s="8" t="s">
        <v>195</v>
      </c>
      <c r="CF65" s="8" t="s">
        <v>195</v>
      </c>
      <c r="CG65" s="8" t="s">
        <v>195</v>
      </c>
      <c r="CH65" s="8"/>
      <c r="CI65" s="8" t="s">
        <v>195</v>
      </c>
      <c r="CJ65" s="8"/>
      <c r="CK65" s="8"/>
      <c r="CL65" s="8">
        <v>123.0</v>
      </c>
      <c r="CM65" s="8" t="s">
        <v>197</v>
      </c>
      <c r="CN65" s="8" t="s">
        <v>198</v>
      </c>
      <c r="CO65" s="8" t="s">
        <v>223</v>
      </c>
      <c r="CP65" s="11">
        <v>45867.67417868055</v>
      </c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 t="s">
        <v>203</v>
      </c>
      <c r="EB65" s="10"/>
      <c r="EC65" s="10"/>
      <c r="ED65" s="10">
        <v>45867.674659027776</v>
      </c>
    </row>
    <row r="66" ht="22.5" customHeight="1">
      <c r="A66" s="12">
        <v>45867.68225277778</v>
      </c>
      <c r="B66" s="6"/>
      <c r="C66" s="8" t="s">
        <v>202</v>
      </c>
      <c r="D66" s="8"/>
      <c r="E66" s="8" t="s">
        <v>136</v>
      </c>
      <c r="F66" s="7">
        <v>45867.0</v>
      </c>
      <c r="G66" s="8" t="s">
        <v>137</v>
      </c>
      <c r="H66" s="8" t="s">
        <v>135</v>
      </c>
      <c r="I66" s="7">
        <v>45875.0</v>
      </c>
      <c r="J66" s="8" t="s">
        <v>138</v>
      </c>
      <c r="K66" s="8" t="s">
        <v>139</v>
      </c>
      <c r="L66" s="8" t="s">
        <v>150</v>
      </c>
      <c r="M66" s="8">
        <v>2.50729065E8</v>
      </c>
      <c r="N66" s="8" t="s">
        <v>151</v>
      </c>
      <c r="O66" s="8" t="s">
        <v>152</v>
      </c>
      <c r="P66" s="8" t="s">
        <v>153</v>
      </c>
      <c r="Q66" s="8" t="s">
        <v>152</v>
      </c>
      <c r="R66" s="8" t="s">
        <v>154</v>
      </c>
      <c r="S66" s="8" t="s">
        <v>251</v>
      </c>
      <c r="T66" s="8" t="s">
        <v>252</v>
      </c>
      <c r="U66" s="8" t="s">
        <v>156</v>
      </c>
      <c r="V66" s="8" t="s">
        <v>135</v>
      </c>
      <c r="W66" s="8" t="s">
        <v>147</v>
      </c>
      <c r="X66" s="8" t="s">
        <v>147</v>
      </c>
      <c r="Y66" s="8" t="s">
        <v>147</v>
      </c>
      <c r="Z66" s="8" t="s">
        <v>147</v>
      </c>
      <c r="AA66" s="8"/>
      <c r="AB66" s="8"/>
      <c r="AC66" s="8"/>
      <c r="AD66" s="8"/>
      <c r="AE66" s="8"/>
      <c r="AF66" s="8" t="s">
        <v>147</v>
      </c>
      <c r="AG66" s="8"/>
      <c r="AH66" s="8"/>
      <c r="AI66" s="8"/>
      <c r="AJ66" s="8"/>
      <c r="AK66" s="8"/>
      <c r="AL66" s="8"/>
      <c r="AM66" s="8"/>
      <c r="AN66" s="8" t="s">
        <v>147</v>
      </c>
      <c r="AO66" s="8"/>
      <c r="AP66" s="8" t="s">
        <v>147</v>
      </c>
      <c r="AQ66" s="8" t="s">
        <v>147</v>
      </c>
      <c r="AR66" s="8"/>
      <c r="AS66" s="8" t="s">
        <v>136</v>
      </c>
      <c r="AT66" s="8" t="s">
        <v>159</v>
      </c>
      <c r="AU66" s="8" t="s">
        <v>136</v>
      </c>
      <c r="AV66" s="8" t="s">
        <v>159</v>
      </c>
      <c r="AW66" s="8">
        <v>123.0</v>
      </c>
      <c r="AX66" s="8" t="s">
        <v>209</v>
      </c>
      <c r="AY66" s="8"/>
      <c r="AZ66" s="8"/>
      <c r="BA66" s="8"/>
      <c r="BB66" s="8" t="s">
        <v>238</v>
      </c>
      <c r="BC66" s="8"/>
      <c r="BD66" s="8"/>
      <c r="BE66" s="8" t="s">
        <v>158</v>
      </c>
      <c r="BF66" s="8" t="s">
        <v>137</v>
      </c>
      <c r="BG66" s="7"/>
      <c r="BH66" s="8" t="s">
        <v>147</v>
      </c>
      <c r="BI66" s="8" t="s">
        <v>163</v>
      </c>
      <c r="BJ66" s="8" t="s">
        <v>219</v>
      </c>
      <c r="BK66" s="7">
        <v>45874.0</v>
      </c>
      <c r="BL66" s="8"/>
      <c r="BM66" s="9"/>
      <c r="BN66" s="9"/>
      <c r="BO66" s="8" t="s">
        <v>263</v>
      </c>
      <c r="BP66" s="8"/>
      <c r="BQ66" s="8">
        <v>123.0</v>
      </c>
      <c r="BR66" s="8" t="s">
        <v>256</v>
      </c>
      <c r="BS66" s="8" t="s">
        <v>197</v>
      </c>
      <c r="BT66" s="8" t="s">
        <v>136</v>
      </c>
      <c r="BU66" s="8"/>
      <c r="BV66" s="8"/>
      <c r="BW66" s="7">
        <v>45867.68293570602</v>
      </c>
      <c r="BX66" s="8" t="s">
        <v>202</v>
      </c>
      <c r="BY66" s="8"/>
      <c r="BZ66" s="8" t="s">
        <v>195</v>
      </c>
      <c r="CA66" s="8" t="s">
        <v>195</v>
      </c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>
        <v>123.0</v>
      </c>
      <c r="CM66" s="8" t="s">
        <v>197</v>
      </c>
      <c r="CN66" s="8" t="s">
        <v>198</v>
      </c>
      <c r="CO66" s="8" t="s">
        <v>223</v>
      </c>
      <c r="CP66" s="11">
        <v>45867.68350280092</v>
      </c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 t="s">
        <v>203</v>
      </c>
      <c r="EB66" s="8" t="s">
        <v>264</v>
      </c>
      <c r="EC66" s="10"/>
      <c r="ED66" s="10">
        <v>45867.683977002314</v>
      </c>
    </row>
    <row r="67" ht="22.5" customHeight="1">
      <c r="A67" s="12">
        <v>45867.70198914352</v>
      </c>
      <c r="B67" s="6"/>
      <c r="C67" s="8" t="s">
        <v>202</v>
      </c>
      <c r="D67" s="8"/>
      <c r="E67" s="8" t="s">
        <v>136</v>
      </c>
      <c r="F67" s="7">
        <v>45867.0</v>
      </c>
      <c r="G67" s="8" t="s">
        <v>137</v>
      </c>
      <c r="H67" s="8" t="s">
        <v>135</v>
      </c>
      <c r="I67" s="7">
        <v>45875.0</v>
      </c>
      <c r="J67" s="8" t="s">
        <v>138</v>
      </c>
      <c r="K67" s="8" t="s">
        <v>139</v>
      </c>
      <c r="L67" s="8" t="s">
        <v>140</v>
      </c>
      <c r="M67" s="8">
        <v>2.50729066E8</v>
      </c>
      <c r="N67" s="8" t="s">
        <v>151</v>
      </c>
      <c r="O67" s="8" t="s">
        <v>152</v>
      </c>
      <c r="P67" s="8" t="s">
        <v>153</v>
      </c>
      <c r="Q67" s="8" t="s">
        <v>152</v>
      </c>
      <c r="R67" s="8" t="s">
        <v>154</v>
      </c>
      <c r="S67" s="8" t="s">
        <v>230</v>
      </c>
      <c r="T67" s="8" t="s">
        <v>231</v>
      </c>
      <c r="U67" s="8" t="s">
        <v>183</v>
      </c>
      <c r="V67" s="8"/>
      <c r="W67" s="8"/>
      <c r="X67" s="8"/>
      <c r="Y67" s="8"/>
      <c r="Z67" s="8" t="s">
        <v>147</v>
      </c>
      <c r="AA67" s="8" t="s">
        <v>147</v>
      </c>
      <c r="AB67" s="8"/>
      <c r="AC67" s="8"/>
      <c r="AD67" s="8"/>
      <c r="AE67" s="8"/>
      <c r="AF67" s="8"/>
      <c r="AG67" s="8"/>
      <c r="AH67" s="8"/>
      <c r="AI67" s="8"/>
      <c r="AJ67" s="8"/>
      <c r="AK67" s="8" t="s">
        <v>147</v>
      </c>
      <c r="AL67" s="8"/>
      <c r="AM67" s="8"/>
      <c r="AN67" s="8" t="s">
        <v>147</v>
      </c>
      <c r="AO67" s="8" t="s">
        <v>147</v>
      </c>
      <c r="AP67" s="8"/>
      <c r="AQ67" s="8" t="s">
        <v>147</v>
      </c>
      <c r="AR67" s="8"/>
      <c r="AS67" s="8" t="s">
        <v>136</v>
      </c>
      <c r="AT67" s="8" t="s">
        <v>159</v>
      </c>
      <c r="AU67" s="8"/>
      <c r="AV67" s="8"/>
      <c r="AW67" s="8"/>
      <c r="AX67" s="8" t="s">
        <v>265</v>
      </c>
      <c r="AY67" s="8" t="s">
        <v>230</v>
      </c>
      <c r="AZ67" s="8"/>
      <c r="BA67" s="8"/>
      <c r="BB67" s="8"/>
      <c r="BC67" s="8"/>
      <c r="BD67" s="8"/>
      <c r="BE67" s="8" t="s">
        <v>158</v>
      </c>
      <c r="BF67" s="8" t="s">
        <v>137</v>
      </c>
      <c r="BG67" s="7"/>
      <c r="BH67" s="8" t="s">
        <v>147</v>
      </c>
      <c r="BI67" s="8" t="s">
        <v>136</v>
      </c>
      <c r="BJ67" s="8" t="s">
        <v>185</v>
      </c>
      <c r="BK67" s="7">
        <v>45874.0</v>
      </c>
      <c r="BL67" s="8"/>
      <c r="BM67" s="9"/>
      <c r="BN67" s="9"/>
      <c r="BO67" s="8" t="s">
        <v>266</v>
      </c>
      <c r="BP67" s="8"/>
      <c r="BQ67" s="8">
        <v>123.0</v>
      </c>
      <c r="BR67" s="8" t="s">
        <v>267</v>
      </c>
      <c r="BS67" s="8" t="s">
        <v>197</v>
      </c>
      <c r="BT67" s="8" t="s">
        <v>136</v>
      </c>
      <c r="BU67" s="8"/>
      <c r="BV67" s="8"/>
      <c r="BW67" s="7">
        <v>45867.70395549768</v>
      </c>
      <c r="BX67" s="8" t="s">
        <v>202</v>
      </c>
      <c r="BY67" s="8"/>
      <c r="BZ67" s="8" t="s">
        <v>195</v>
      </c>
      <c r="CA67" s="8" t="s">
        <v>195</v>
      </c>
      <c r="CB67" s="8" t="s">
        <v>195</v>
      </c>
      <c r="CC67" s="8"/>
      <c r="CD67" s="8"/>
      <c r="CE67" s="8"/>
      <c r="CF67" s="8"/>
      <c r="CG67" s="8" t="s">
        <v>195</v>
      </c>
      <c r="CH67" s="8"/>
      <c r="CI67" s="8" t="s">
        <v>195</v>
      </c>
      <c r="CJ67" s="8"/>
      <c r="CK67" s="8"/>
      <c r="CL67" s="8"/>
      <c r="CM67" s="8"/>
      <c r="CN67" s="8" t="s">
        <v>198</v>
      </c>
      <c r="CO67" s="8" t="s">
        <v>223</v>
      </c>
      <c r="CP67" s="11">
        <v>45867.70906474537</v>
      </c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 t="s">
        <v>203</v>
      </c>
      <c r="EB67" s="8" t="s">
        <v>264</v>
      </c>
      <c r="EC67" s="10"/>
      <c r="ED67" s="10">
        <v>45867.709885625</v>
      </c>
    </row>
    <row r="68" ht="22.5" customHeight="1">
      <c r="A68" s="12"/>
      <c r="B68" s="6"/>
      <c r="C68" s="8" t="s">
        <v>202</v>
      </c>
      <c r="D68" s="8"/>
      <c r="E68" s="8" t="s">
        <v>136</v>
      </c>
      <c r="F68" s="7">
        <v>45868.0</v>
      </c>
      <c r="G68" s="8" t="s">
        <v>137</v>
      </c>
      <c r="H68" s="8" t="s">
        <v>135</v>
      </c>
      <c r="I68" s="7">
        <v>45876.0</v>
      </c>
      <c r="J68" s="8" t="s">
        <v>138</v>
      </c>
      <c r="K68" s="8" t="s">
        <v>268</v>
      </c>
      <c r="L68" s="8" t="s">
        <v>150</v>
      </c>
      <c r="M68" s="8">
        <v>2.50730001E8</v>
      </c>
      <c r="N68" s="8" t="s">
        <v>151</v>
      </c>
      <c r="O68" s="8" t="s">
        <v>152</v>
      </c>
      <c r="P68" s="8" t="s">
        <v>153</v>
      </c>
      <c r="Q68" s="8" t="s">
        <v>152</v>
      </c>
      <c r="R68" s="8" t="s">
        <v>154</v>
      </c>
      <c r="S68" s="8" t="s">
        <v>209</v>
      </c>
      <c r="T68" s="8" t="s">
        <v>242</v>
      </c>
      <c r="U68" s="8" t="s">
        <v>183</v>
      </c>
      <c r="V68" s="8" t="s">
        <v>135</v>
      </c>
      <c r="W68" s="8" t="s">
        <v>147</v>
      </c>
      <c r="X68" s="8" t="s">
        <v>147</v>
      </c>
      <c r="Y68" s="8" t="s">
        <v>147</v>
      </c>
      <c r="Z68" s="8" t="s">
        <v>147</v>
      </c>
      <c r="AA68" s="8" t="s">
        <v>147</v>
      </c>
      <c r="AB68" s="8" t="s">
        <v>147</v>
      </c>
      <c r="AC68" s="8" t="s">
        <v>147</v>
      </c>
      <c r="AD68" s="8" t="s">
        <v>147</v>
      </c>
      <c r="AE68" s="8" t="s">
        <v>147</v>
      </c>
      <c r="AF68" s="8" t="s">
        <v>147</v>
      </c>
      <c r="AG68" s="8" t="s">
        <v>147</v>
      </c>
      <c r="AH68" s="8" t="s">
        <v>147</v>
      </c>
      <c r="AI68" s="8" t="s">
        <v>147</v>
      </c>
      <c r="AJ68" s="8" t="s">
        <v>147</v>
      </c>
      <c r="AK68" s="8" t="s">
        <v>147</v>
      </c>
      <c r="AL68" s="8" t="s">
        <v>147</v>
      </c>
      <c r="AM68" s="8" t="s">
        <v>147</v>
      </c>
      <c r="AN68" s="8" t="s">
        <v>147</v>
      </c>
      <c r="AO68" s="8" t="s">
        <v>147</v>
      </c>
      <c r="AP68" s="8" t="s">
        <v>147</v>
      </c>
      <c r="AQ68" s="8" t="s">
        <v>147</v>
      </c>
      <c r="AR68" s="8" t="s">
        <v>147</v>
      </c>
      <c r="AS68" s="8" t="s">
        <v>136</v>
      </c>
      <c r="AT68" s="8" t="s">
        <v>159</v>
      </c>
      <c r="AU68" s="8" t="s">
        <v>136</v>
      </c>
      <c r="AV68" s="8" t="s">
        <v>159</v>
      </c>
      <c r="AW68" s="8">
        <v>123.0</v>
      </c>
      <c r="AX68" s="8" t="s">
        <v>209</v>
      </c>
      <c r="AY68" s="8" t="s">
        <v>209</v>
      </c>
      <c r="AZ68" s="8" t="s">
        <v>234</v>
      </c>
      <c r="BA68" s="8" t="s">
        <v>234</v>
      </c>
      <c r="BB68" s="8" t="s">
        <v>242</v>
      </c>
      <c r="BC68" s="8"/>
      <c r="BD68" s="8"/>
      <c r="BE68" s="8" t="s">
        <v>158</v>
      </c>
      <c r="BF68" s="8" t="s">
        <v>137</v>
      </c>
      <c r="BG68" s="7"/>
      <c r="BH68" s="8" t="s">
        <v>147</v>
      </c>
      <c r="BI68" s="8" t="s">
        <v>163</v>
      </c>
      <c r="BJ68" s="8" t="s">
        <v>219</v>
      </c>
      <c r="BK68" s="7">
        <v>45874.0</v>
      </c>
      <c r="BL68" s="8" t="s">
        <v>147</v>
      </c>
      <c r="BM68" s="9"/>
      <c r="BN68" s="9"/>
      <c r="BO68" s="8" t="s">
        <v>269</v>
      </c>
      <c r="BP68" s="8"/>
      <c r="BQ68" s="8">
        <v>123.0</v>
      </c>
      <c r="BR68" s="8" t="s">
        <v>270</v>
      </c>
      <c r="BS68" s="8" t="s">
        <v>197</v>
      </c>
      <c r="BT68" s="8" t="s">
        <v>136</v>
      </c>
      <c r="BU68" s="8" t="s">
        <v>261</v>
      </c>
      <c r="BV68" s="8" t="s">
        <v>197</v>
      </c>
      <c r="BW68" s="7">
        <v>45868.5069280787</v>
      </c>
      <c r="BX68" s="8" t="s">
        <v>202</v>
      </c>
      <c r="BY68" s="8"/>
      <c r="BZ68" s="8" t="s">
        <v>195</v>
      </c>
      <c r="CA68" s="8" t="s">
        <v>195</v>
      </c>
      <c r="CB68" s="8" t="s">
        <v>195</v>
      </c>
      <c r="CC68" s="8" t="s">
        <v>195</v>
      </c>
      <c r="CD68" s="8" t="s">
        <v>195</v>
      </c>
      <c r="CE68" s="8" t="s">
        <v>195</v>
      </c>
      <c r="CF68" s="8" t="s">
        <v>195</v>
      </c>
      <c r="CG68" s="8" t="s">
        <v>195</v>
      </c>
      <c r="CH68" s="8"/>
      <c r="CI68" s="8" t="s">
        <v>195</v>
      </c>
      <c r="CJ68" s="8"/>
      <c r="CK68" s="8"/>
      <c r="CL68" s="8">
        <v>123.0</v>
      </c>
      <c r="CM68" s="8" t="s">
        <v>197</v>
      </c>
      <c r="CN68" s="8" t="s">
        <v>198</v>
      </c>
      <c r="CO68" s="8" t="s">
        <v>223</v>
      </c>
      <c r="CP68" s="11">
        <v>45868.510857939815</v>
      </c>
      <c r="CQ68" s="8" t="s">
        <v>195</v>
      </c>
      <c r="CR68" s="8" t="s">
        <v>271</v>
      </c>
      <c r="CS68" s="8" t="s">
        <v>272</v>
      </c>
      <c r="CT68" s="8" t="s">
        <v>273</v>
      </c>
      <c r="CU68" s="8" t="s">
        <v>274</v>
      </c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 t="s">
        <v>195</v>
      </c>
      <c r="DI68" s="11">
        <v>45868.509198472224</v>
      </c>
      <c r="DJ68" s="8" t="s">
        <v>195</v>
      </c>
      <c r="DK68" s="11">
        <v>45868.50902701389</v>
      </c>
      <c r="DL68" s="8" t="s">
        <v>195</v>
      </c>
      <c r="DM68" s="11">
        <v>45868.5093472338</v>
      </c>
      <c r="DN68" s="8" t="s">
        <v>195</v>
      </c>
      <c r="DO68" s="11">
        <v>45868.509892789356</v>
      </c>
      <c r="DP68" s="11"/>
      <c r="DQ68" s="11"/>
      <c r="DR68" s="11"/>
      <c r="DS68" s="11"/>
      <c r="DT68" s="11"/>
      <c r="DU68" s="11"/>
      <c r="DV68" s="11"/>
      <c r="DW68" s="8"/>
      <c r="DX68" s="8"/>
      <c r="DY68" s="8"/>
      <c r="DZ68" s="8"/>
      <c r="EA68" s="8" t="s">
        <v>203</v>
      </c>
      <c r="EB68" s="8" t="s">
        <v>275</v>
      </c>
      <c r="EC68" s="10"/>
      <c r="ED68" s="10">
        <v>45868.51295658565</v>
      </c>
    </row>
    <row r="69" ht="22.5" customHeight="1">
      <c r="A69" s="12"/>
      <c r="B69" s="6"/>
      <c r="C69" s="8" t="s">
        <v>244</v>
      </c>
      <c r="D69" s="8"/>
      <c r="E69" s="8" t="s">
        <v>136</v>
      </c>
      <c r="F69" s="7">
        <v>45868.0</v>
      </c>
      <c r="G69" s="8" t="s">
        <v>137</v>
      </c>
      <c r="H69" s="8" t="s">
        <v>135</v>
      </c>
      <c r="I69" s="7">
        <v>45876.0</v>
      </c>
      <c r="J69" s="8" t="s">
        <v>138</v>
      </c>
      <c r="K69" s="8" t="s">
        <v>139</v>
      </c>
      <c r="L69" s="8" t="s">
        <v>150</v>
      </c>
      <c r="M69" s="8">
        <v>2.50730002E8</v>
      </c>
      <c r="N69" s="8" t="s">
        <v>151</v>
      </c>
      <c r="O69" s="8" t="s">
        <v>152</v>
      </c>
      <c r="P69" s="8" t="s">
        <v>153</v>
      </c>
      <c r="Q69" s="8" t="s">
        <v>152</v>
      </c>
      <c r="R69" s="8" t="s">
        <v>154</v>
      </c>
      <c r="S69" s="8" t="s">
        <v>209</v>
      </c>
      <c r="T69" s="8" t="s">
        <v>242</v>
      </c>
      <c r="U69" s="8" t="s">
        <v>183</v>
      </c>
      <c r="V69" s="8" t="s">
        <v>135</v>
      </c>
      <c r="W69" s="8" t="s">
        <v>147</v>
      </c>
      <c r="X69" s="8" t="s">
        <v>147</v>
      </c>
      <c r="Y69" s="8"/>
      <c r="Z69" s="8" t="s">
        <v>147</v>
      </c>
      <c r="AA69" s="8" t="s">
        <v>147</v>
      </c>
      <c r="AB69" s="8"/>
      <c r="AC69" s="8" t="s">
        <v>147</v>
      </c>
      <c r="AD69" s="8"/>
      <c r="AE69" s="8"/>
      <c r="AF69" s="8" t="s">
        <v>147</v>
      </c>
      <c r="AG69" s="8" t="s">
        <v>147</v>
      </c>
      <c r="AH69" s="8"/>
      <c r="AI69" s="8"/>
      <c r="AJ69" s="8"/>
      <c r="AK69" s="8"/>
      <c r="AL69" s="8" t="s">
        <v>147</v>
      </c>
      <c r="AM69" s="8" t="s">
        <v>147</v>
      </c>
      <c r="AN69" s="8" t="s">
        <v>147</v>
      </c>
      <c r="AO69" s="8"/>
      <c r="AP69" s="8"/>
      <c r="AQ69" s="8" t="s">
        <v>147</v>
      </c>
      <c r="AR69" s="8"/>
      <c r="AS69" s="8" t="s">
        <v>136</v>
      </c>
      <c r="AT69" s="8" t="s">
        <v>159</v>
      </c>
      <c r="AU69" s="8"/>
      <c r="AV69" s="8"/>
      <c r="AW69" s="8"/>
      <c r="AX69" s="8" t="s">
        <v>209</v>
      </c>
      <c r="AY69" s="8"/>
      <c r="AZ69" s="8"/>
      <c r="BA69" s="8"/>
      <c r="BB69" s="8" t="s">
        <v>242</v>
      </c>
      <c r="BC69" s="8"/>
      <c r="BD69" s="8"/>
      <c r="BE69" s="8" t="s">
        <v>158</v>
      </c>
      <c r="BF69" s="8" t="s">
        <v>137</v>
      </c>
      <c r="BG69" s="7"/>
      <c r="BH69" s="8" t="s">
        <v>147</v>
      </c>
      <c r="BI69" s="8" t="s">
        <v>163</v>
      </c>
      <c r="BJ69" s="8" t="s">
        <v>219</v>
      </c>
      <c r="BK69" s="7">
        <v>45874.0</v>
      </c>
      <c r="BL69" s="8"/>
      <c r="BM69" s="9"/>
      <c r="BN69" s="9"/>
      <c r="BO69" s="8" t="s">
        <v>276</v>
      </c>
      <c r="BP69" s="8"/>
      <c r="BQ69" s="8">
        <v>123.0</v>
      </c>
      <c r="BR69" s="8" t="s">
        <v>270</v>
      </c>
      <c r="BS69" s="8" t="s">
        <v>197</v>
      </c>
      <c r="BT69" s="8" t="s">
        <v>136</v>
      </c>
      <c r="BU69" s="8"/>
      <c r="BV69" s="8"/>
      <c r="BW69" s="7">
        <v>45868.525851493054</v>
      </c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11"/>
      <c r="CQ69" s="8" t="s">
        <v>195</v>
      </c>
      <c r="CR69" s="8" t="s">
        <v>271</v>
      </c>
      <c r="CS69" s="8" t="s">
        <v>272</v>
      </c>
      <c r="CT69" s="8" t="s">
        <v>273</v>
      </c>
      <c r="CU69" s="8" t="s">
        <v>274</v>
      </c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 t="s">
        <v>195</v>
      </c>
      <c r="DI69" s="11">
        <v>45868.52641726852</v>
      </c>
      <c r="DJ69" s="8" t="s">
        <v>195</v>
      </c>
      <c r="DK69" s="11">
        <v>45868.52700236111</v>
      </c>
      <c r="DL69" s="8" t="s">
        <v>195</v>
      </c>
      <c r="DM69" s="11">
        <v>45868.527217905095</v>
      </c>
      <c r="DN69" s="8"/>
      <c r="DO69" s="11"/>
      <c r="DP69" s="11"/>
      <c r="DQ69" s="11"/>
      <c r="DR69" s="11"/>
      <c r="DS69" s="11"/>
      <c r="DT69" s="11"/>
      <c r="DU69" s="11"/>
      <c r="DV69" s="11"/>
      <c r="DW69" s="8"/>
      <c r="DX69" s="8"/>
      <c r="DY69" s="8"/>
      <c r="DZ69" s="8"/>
      <c r="EA69" s="8"/>
      <c r="EB69" s="8"/>
      <c r="EC69" s="10"/>
      <c r="ED69" s="10"/>
    </row>
    <row r="70" ht="22.5" customHeight="1">
      <c r="A70" s="12"/>
      <c r="B70" s="6"/>
      <c r="C70" s="8" t="s">
        <v>202</v>
      </c>
      <c r="D70" s="8"/>
      <c r="E70" s="8" t="s">
        <v>136</v>
      </c>
      <c r="F70" s="7">
        <v>45868.0</v>
      </c>
      <c r="G70" s="8" t="s">
        <v>137</v>
      </c>
      <c r="H70" s="8" t="s">
        <v>135</v>
      </c>
      <c r="I70" s="7">
        <v>45875.0</v>
      </c>
      <c r="J70" s="8" t="s">
        <v>138</v>
      </c>
      <c r="K70" s="8" t="s">
        <v>139</v>
      </c>
      <c r="L70" s="8" t="s">
        <v>150</v>
      </c>
      <c r="M70" s="8">
        <v>2.50730003E8</v>
      </c>
      <c r="N70" s="8" t="s">
        <v>151</v>
      </c>
      <c r="O70" s="8" t="s">
        <v>152</v>
      </c>
      <c r="P70" s="8" t="s">
        <v>153</v>
      </c>
      <c r="Q70" s="8" t="s">
        <v>152</v>
      </c>
      <c r="R70" s="8" t="s">
        <v>154</v>
      </c>
      <c r="S70" s="8" t="s">
        <v>230</v>
      </c>
      <c r="T70" s="8" t="s">
        <v>231</v>
      </c>
      <c r="U70" s="8" t="s">
        <v>183</v>
      </c>
      <c r="V70" s="8" t="s">
        <v>135</v>
      </c>
      <c r="W70" s="8" t="s">
        <v>147</v>
      </c>
      <c r="X70" s="8"/>
      <c r="Y70" s="8" t="s">
        <v>147</v>
      </c>
      <c r="Z70" s="8"/>
      <c r="AA70" s="8"/>
      <c r="AB70" s="8"/>
      <c r="AC70" s="8" t="s">
        <v>147</v>
      </c>
      <c r="AD70" s="8"/>
      <c r="AE70" s="8" t="s">
        <v>147</v>
      </c>
      <c r="AF70" s="8"/>
      <c r="AG70" s="8"/>
      <c r="AH70" s="8"/>
      <c r="AI70" s="8"/>
      <c r="AJ70" s="8"/>
      <c r="AK70" s="8"/>
      <c r="AL70" s="8" t="s">
        <v>147</v>
      </c>
      <c r="AM70" s="8"/>
      <c r="AN70" s="8" t="s">
        <v>147</v>
      </c>
      <c r="AO70" s="8"/>
      <c r="AP70" s="8" t="s">
        <v>147</v>
      </c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 t="s">
        <v>238</v>
      </c>
      <c r="BB70" s="8"/>
      <c r="BC70" s="8"/>
      <c r="BD70" s="8"/>
      <c r="BE70" s="8" t="s">
        <v>158</v>
      </c>
      <c r="BF70" s="8" t="s">
        <v>137</v>
      </c>
      <c r="BG70" s="7"/>
      <c r="BH70" s="8"/>
      <c r="BI70" s="8" t="s">
        <v>163</v>
      </c>
      <c r="BJ70" s="8" t="s">
        <v>219</v>
      </c>
      <c r="BK70" s="7">
        <v>45874.0</v>
      </c>
      <c r="BL70" s="8"/>
      <c r="BM70" s="9"/>
      <c r="BN70" s="9"/>
      <c r="BO70" s="8" t="s">
        <v>277</v>
      </c>
      <c r="BP70" s="8"/>
      <c r="BQ70" s="8">
        <v>123.0</v>
      </c>
      <c r="BR70" s="8" t="s">
        <v>278</v>
      </c>
      <c r="BS70" s="8" t="s">
        <v>197</v>
      </c>
      <c r="BT70" s="8" t="s">
        <v>136</v>
      </c>
      <c r="BU70" s="8"/>
      <c r="BV70" s="8"/>
      <c r="BW70" s="7">
        <v>45868.53345365741</v>
      </c>
      <c r="BX70" s="8" t="s">
        <v>202</v>
      </c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>
        <v>123.0</v>
      </c>
      <c r="CM70" s="8" t="s">
        <v>197</v>
      </c>
      <c r="CN70" s="8"/>
      <c r="CO70" s="8"/>
      <c r="CP70" s="11">
        <v>45868.534792418985</v>
      </c>
      <c r="CQ70" s="8" t="s">
        <v>195</v>
      </c>
      <c r="CR70" s="8" t="s">
        <v>271</v>
      </c>
      <c r="CS70" s="8" t="s">
        <v>272</v>
      </c>
      <c r="CT70" s="8" t="s">
        <v>273</v>
      </c>
      <c r="CU70" s="8" t="s">
        <v>274</v>
      </c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11"/>
      <c r="DJ70" s="8" t="s">
        <v>195</v>
      </c>
      <c r="DK70" s="11">
        <v>45868.53482148148</v>
      </c>
      <c r="DL70" s="8"/>
      <c r="DM70" s="11"/>
      <c r="DN70" s="8" t="s">
        <v>195</v>
      </c>
      <c r="DO70" s="11">
        <v>45868.534762662035</v>
      </c>
      <c r="DP70" s="11"/>
      <c r="DQ70" s="11"/>
      <c r="DR70" s="11"/>
      <c r="DS70" s="11"/>
      <c r="DT70" s="11"/>
      <c r="DU70" s="11"/>
      <c r="DV70" s="11"/>
      <c r="DW70" s="8"/>
      <c r="DX70" s="8"/>
      <c r="DY70" s="8"/>
      <c r="DZ70" s="8"/>
      <c r="EA70" s="8" t="s">
        <v>203</v>
      </c>
      <c r="EB70" s="8"/>
      <c r="EC70" s="10"/>
      <c r="ED70" s="10">
        <v>45868.535658402776</v>
      </c>
    </row>
    <row r="71" ht="22.5" customHeight="1">
      <c r="A71" s="12"/>
      <c r="B71" s="6"/>
      <c r="C71" s="8" t="s">
        <v>202</v>
      </c>
      <c r="D71" s="8"/>
      <c r="E71" s="8" t="s">
        <v>136</v>
      </c>
      <c r="F71" s="7">
        <v>45868.0</v>
      </c>
      <c r="G71" s="8" t="s">
        <v>137</v>
      </c>
      <c r="H71" s="8" t="s">
        <v>135</v>
      </c>
      <c r="I71" s="7">
        <v>45877.0</v>
      </c>
      <c r="J71" s="8" t="s">
        <v>138</v>
      </c>
      <c r="K71" s="8" t="s">
        <v>268</v>
      </c>
      <c r="L71" s="8" t="s">
        <v>150</v>
      </c>
      <c r="M71" s="8">
        <v>2.50730004E8</v>
      </c>
      <c r="N71" s="8" t="s">
        <v>151</v>
      </c>
      <c r="O71" s="8" t="s">
        <v>152</v>
      </c>
      <c r="P71" s="8" t="s">
        <v>153</v>
      </c>
      <c r="Q71" s="8" t="s">
        <v>152</v>
      </c>
      <c r="R71" s="8" t="s">
        <v>154</v>
      </c>
      <c r="S71" s="8" t="s">
        <v>230</v>
      </c>
      <c r="T71" s="8" t="s">
        <v>231</v>
      </c>
      <c r="U71" s="8" t="s">
        <v>183</v>
      </c>
      <c r="V71" s="8" t="s">
        <v>135</v>
      </c>
      <c r="W71" s="8" t="s">
        <v>147</v>
      </c>
      <c r="X71" s="8" t="s">
        <v>147</v>
      </c>
      <c r="Y71" s="8" t="s">
        <v>147</v>
      </c>
      <c r="Z71" s="8" t="s">
        <v>147</v>
      </c>
      <c r="AA71" s="8" t="s">
        <v>147</v>
      </c>
      <c r="AB71" s="8" t="s">
        <v>147</v>
      </c>
      <c r="AC71" s="8" t="s">
        <v>147</v>
      </c>
      <c r="AD71" s="8" t="s">
        <v>147</v>
      </c>
      <c r="AE71" s="8" t="s">
        <v>147</v>
      </c>
      <c r="AF71" s="8" t="s">
        <v>147</v>
      </c>
      <c r="AG71" s="8" t="s">
        <v>147</v>
      </c>
      <c r="AH71" s="8" t="s">
        <v>147</v>
      </c>
      <c r="AI71" s="8" t="s">
        <v>147</v>
      </c>
      <c r="AJ71" s="8" t="s">
        <v>147</v>
      </c>
      <c r="AK71" s="8" t="s">
        <v>147</v>
      </c>
      <c r="AL71" s="8" t="s">
        <v>147</v>
      </c>
      <c r="AM71" s="8" t="s">
        <v>147</v>
      </c>
      <c r="AN71" s="8" t="s">
        <v>147</v>
      </c>
      <c r="AO71" s="8" t="s">
        <v>147</v>
      </c>
      <c r="AP71" s="8" t="s">
        <v>147</v>
      </c>
      <c r="AQ71" s="8" t="s">
        <v>147</v>
      </c>
      <c r="AR71" s="8" t="s">
        <v>147</v>
      </c>
      <c r="AS71" s="8" t="s">
        <v>136</v>
      </c>
      <c r="AT71" s="8" t="s">
        <v>159</v>
      </c>
      <c r="AU71" s="8" t="s">
        <v>136</v>
      </c>
      <c r="AV71" s="8" t="s">
        <v>159</v>
      </c>
      <c r="AW71" s="8">
        <v>123.0</v>
      </c>
      <c r="AX71" s="8" t="s">
        <v>209</v>
      </c>
      <c r="AY71" s="8" t="s">
        <v>237</v>
      </c>
      <c r="AZ71" s="8" t="s">
        <v>248</v>
      </c>
      <c r="BA71" s="8" t="s">
        <v>231</v>
      </c>
      <c r="BB71" s="8" t="s">
        <v>252</v>
      </c>
      <c r="BC71" s="8"/>
      <c r="BD71" s="8"/>
      <c r="BE71" s="8" t="s">
        <v>158</v>
      </c>
      <c r="BF71" s="8" t="s">
        <v>137</v>
      </c>
      <c r="BG71" s="7"/>
      <c r="BH71" s="8" t="s">
        <v>147</v>
      </c>
      <c r="BI71" s="8" t="s">
        <v>163</v>
      </c>
      <c r="BJ71" s="8" t="s">
        <v>219</v>
      </c>
      <c r="BK71" s="7">
        <v>45874.0</v>
      </c>
      <c r="BL71" s="8" t="s">
        <v>147</v>
      </c>
      <c r="BM71" s="9"/>
      <c r="BN71" s="9"/>
      <c r="BO71" s="8" t="s">
        <v>279</v>
      </c>
      <c r="BP71" s="8"/>
      <c r="BQ71" s="8">
        <v>123.0</v>
      </c>
      <c r="BR71" s="8" t="s">
        <v>280</v>
      </c>
      <c r="BS71" s="8" t="s">
        <v>197</v>
      </c>
      <c r="BT71" s="8" t="s">
        <v>136</v>
      </c>
      <c r="BU71" s="8" t="s">
        <v>261</v>
      </c>
      <c r="BV71" s="8" t="s">
        <v>197</v>
      </c>
      <c r="BW71" s="7">
        <v>45868.54598755787</v>
      </c>
      <c r="BX71" s="8" t="s">
        <v>202</v>
      </c>
      <c r="BY71" s="8"/>
      <c r="BZ71" s="8" t="s">
        <v>195</v>
      </c>
      <c r="CA71" s="8" t="s">
        <v>195</v>
      </c>
      <c r="CB71" s="8" t="s">
        <v>195</v>
      </c>
      <c r="CC71" s="8" t="s">
        <v>195</v>
      </c>
      <c r="CD71" s="8" t="s">
        <v>195</v>
      </c>
      <c r="CE71" s="8" t="s">
        <v>195</v>
      </c>
      <c r="CF71" s="8" t="s">
        <v>195</v>
      </c>
      <c r="CG71" s="8" t="s">
        <v>195</v>
      </c>
      <c r="CH71" s="8"/>
      <c r="CI71" s="8" t="s">
        <v>195</v>
      </c>
      <c r="CJ71" s="8"/>
      <c r="CK71" s="8"/>
      <c r="CL71" s="8">
        <v>123.0</v>
      </c>
      <c r="CM71" s="8" t="s">
        <v>197</v>
      </c>
      <c r="CN71" s="8" t="s">
        <v>198</v>
      </c>
      <c r="CO71" s="8" t="s">
        <v>223</v>
      </c>
      <c r="CP71" s="11">
        <v>45868.547487766205</v>
      </c>
      <c r="CQ71" s="8" t="s">
        <v>195</v>
      </c>
      <c r="CR71" s="8" t="s">
        <v>271</v>
      </c>
      <c r="CS71" s="8" t="s">
        <v>272</v>
      </c>
      <c r="CT71" s="8" t="s">
        <v>273</v>
      </c>
      <c r="CU71" s="8" t="s">
        <v>274</v>
      </c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 t="s">
        <v>195</v>
      </c>
      <c r="DI71" s="11">
        <v>45868.5472312037</v>
      </c>
      <c r="DJ71" s="8" t="s">
        <v>195</v>
      </c>
      <c r="DK71" s="11">
        <v>45868.54729369213</v>
      </c>
      <c r="DL71" s="8" t="s">
        <v>195</v>
      </c>
      <c r="DM71" s="11">
        <v>45868.54726633102</v>
      </c>
      <c r="DN71" s="8" t="s">
        <v>195</v>
      </c>
      <c r="DO71" s="11">
        <v>45868.547310497685</v>
      </c>
      <c r="DP71" s="11"/>
      <c r="DQ71" s="11"/>
      <c r="DR71" s="11"/>
      <c r="DS71" s="11"/>
      <c r="DT71" s="11"/>
      <c r="DU71" s="11"/>
      <c r="DV71" s="11"/>
      <c r="DW71" s="8" t="s">
        <v>195</v>
      </c>
      <c r="DX71" s="11">
        <v>45868.54654434028</v>
      </c>
      <c r="DY71" s="8"/>
      <c r="DZ71" s="8"/>
      <c r="EA71" s="8" t="s">
        <v>203</v>
      </c>
      <c r="EB71" s="8" t="s">
        <v>281</v>
      </c>
      <c r="EC71" s="10"/>
      <c r="ED71" s="10">
        <v>45868.549081087964</v>
      </c>
    </row>
    <row r="72" ht="22.5" customHeight="1">
      <c r="A72" s="12"/>
      <c r="B72" s="6"/>
      <c r="C72" s="8" t="s">
        <v>202</v>
      </c>
      <c r="D72" s="8"/>
      <c r="E72" s="8" t="s">
        <v>136</v>
      </c>
      <c r="F72" s="7">
        <v>45868.0</v>
      </c>
      <c r="G72" s="8" t="s">
        <v>137</v>
      </c>
      <c r="H72" s="8" t="s">
        <v>135</v>
      </c>
      <c r="I72" s="7">
        <v>45874.0</v>
      </c>
      <c r="J72" s="8" t="s">
        <v>138</v>
      </c>
      <c r="K72" s="8" t="s">
        <v>139</v>
      </c>
      <c r="L72" s="8" t="s">
        <v>150</v>
      </c>
      <c r="M72" s="8">
        <v>2.50730005E8</v>
      </c>
      <c r="N72" s="8" t="s">
        <v>151</v>
      </c>
      <c r="O72" s="8" t="s">
        <v>152</v>
      </c>
      <c r="P72" s="8" t="s">
        <v>153</v>
      </c>
      <c r="Q72" s="8" t="s">
        <v>152</v>
      </c>
      <c r="R72" s="8" t="s">
        <v>154</v>
      </c>
      <c r="S72" s="8" t="s">
        <v>209</v>
      </c>
      <c r="T72" s="8" t="s">
        <v>242</v>
      </c>
      <c r="U72" s="8" t="s">
        <v>183</v>
      </c>
      <c r="V72" s="8" t="s">
        <v>135</v>
      </c>
      <c r="W72" s="8" t="s">
        <v>147</v>
      </c>
      <c r="X72" s="8" t="s">
        <v>147</v>
      </c>
      <c r="Y72" s="8" t="s">
        <v>147</v>
      </c>
      <c r="Z72" s="8" t="s">
        <v>147</v>
      </c>
      <c r="AA72" s="8" t="s">
        <v>147</v>
      </c>
      <c r="AB72" s="8" t="s">
        <v>147</v>
      </c>
      <c r="AC72" s="8" t="s">
        <v>147</v>
      </c>
      <c r="AD72" s="8" t="s">
        <v>147</v>
      </c>
      <c r="AE72" s="8" t="s">
        <v>147</v>
      </c>
      <c r="AF72" s="8" t="s">
        <v>147</v>
      </c>
      <c r="AG72" s="8" t="s">
        <v>147</v>
      </c>
      <c r="AH72" s="8" t="s">
        <v>147</v>
      </c>
      <c r="AI72" s="8" t="s">
        <v>147</v>
      </c>
      <c r="AJ72" s="8" t="s">
        <v>147</v>
      </c>
      <c r="AK72" s="8" t="s">
        <v>147</v>
      </c>
      <c r="AL72" s="8" t="s">
        <v>147</v>
      </c>
      <c r="AM72" s="8" t="s">
        <v>147</v>
      </c>
      <c r="AN72" s="8" t="s">
        <v>147</v>
      </c>
      <c r="AO72" s="8" t="s">
        <v>147</v>
      </c>
      <c r="AP72" s="8" t="s">
        <v>147</v>
      </c>
      <c r="AQ72" s="8" t="s">
        <v>147</v>
      </c>
      <c r="AR72" s="8" t="s">
        <v>147</v>
      </c>
      <c r="AS72" s="8" t="s">
        <v>136</v>
      </c>
      <c r="AT72" s="8" t="s">
        <v>159</v>
      </c>
      <c r="AU72" s="8" t="s">
        <v>136</v>
      </c>
      <c r="AV72" s="8" t="s">
        <v>159</v>
      </c>
      <c r="AW72" s="8">
        <v>123.0</v>
      </c>
      <c r="AX72" s="8" t="s">
        <v>209</v>
      </c>
      <c r="AY72" s="8" t="s">
        <v>209</v>
      </c>
      <c r="AZ72" s="8" t="s">
        <v>242</v>
      </c>
      <c r="BA72" s="8" t="s">
        <v>242</v>
      </c>
      <c r="BB72" s="8" t="s">
        <v>242</v>
      </c>
      <c r="BC72" s="8"/>
      <c r="BD72" s="8"/>
      <c r="BE72" s="8" t="s">
        <v>158</v>
      </c>
      <c r="BF72" s="8" t="s">
        <v>137</v>
      </c>
      <c r="BG72" s="7"/>
      <c r="BH72" s="8" t="s">
        <v>147</v>
      </c>
      <c r="BI72" s="8" t="s">
        <v>163</v>
      </c>
      <c r="BJ72" s="8" t="s">
        <v>219</v>
      </c>
      <c r="BK72" s="7">
        <v>45874.0</v>
      </c>
      <c r="BL72" s="8" t="s">
        <v>147</v>
      </c>
      <c r="BM72" s="9"/>
      <c r="BN72" s="9"/>
      <c r="BO72" s="8" t="s">
        <v>282</v>
      </c>
      <c r="BP72" s="8"/>
      <c r="BQ72" s="8">
        <v>123.0</v>
      </c>
      <c r="BR72" s="8" t="s">
        <v>283</v>
      </c>
      <c r="BS72" s="8" t="s">
        <v>197</v>
      </c>
      <c r="BT72" s="8" t="s">
        <v>136</v>
      </c>
      <c r="BU72" s="8" t="s">
        <v>261</v>
      </c>
      <c r="BV72" s="8" t="s">
        <v>197</v>
      </c>
      <c r="BW72" s="7">
        <v>45868.64808284723</v>
      </c>
      <c r="BX72" s="8" t="s">
        <v>202</v>
      </c>
      <c r="BY72" s="8"/>
      <c r="BZ72" s="8" t="s">
        <v>195</v>
      </c>
      <c r="CA72" s="8" t="s">
        <v>195</v>
      </c>
      <c r="CB72" s="8" t="s">
        <v>195</v>
      </c>
      <c r="CC72" s="8" t="s">
        <v>195</v>
      </c>
      <c r="CD72" s="8" t="s">
        <v>195</v>
      </c>
      <c r="CE72" s="8" t="s">
        <v>195</v>
      </c>
      <c r="CF72" s="8" t="s">
        <v>195</v>
      </c>
      <c r="CG72" s="8" t="s">
        <v>195</v>
      </c>
      <c r="CH72" s="8"/>
      <c r="CI72" s="8" t="s">
        <v>195</v>
      </c>
      <c r="CJ72" s="8"/>
      <c r="CK72" s="8"/>
      <c r="CL72" s="8">
        <v>123.0</v>
      </c>
      <c r="CM72" s="8" t="s">
        <v>197</v>
      </c>
      <c r="CN72" s="8" t="s">
        <v>198</v>
      </c>
      <c r="CO72" s="8" t="s">
        <v>223</v>
      </c>
      <c r="CP72" s="11">
        <v>45868.65063725694</v>
      </c>
      <c r="CQ72" s="8" t="s">
        <v>195</v>
      </c>
      <c r="CR72" s="8" t="s">
        <v>271</v>
      </c>
      <c r="CS72" s="8" t="s">
        <v>272</v>
      </c>
      <c r="CT72" s="8" t="s">
        <v>273</v>
      </c>
      <c r="CU72" s="8" t="s">
        <v>274</v>
      </c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 t="s">
        <v>195</v>
      </c>
      <c r="DI72" s="11">
        <v>45868.64911247685</v>
      </c>
      <c r="DJ72" s="8" t="s">
        <v>195</v>
      </c>
      <c r="DK72" s="11">
        <v>45868.65035748843</v>
      </c>
      <c r="DL72" s="8" t="s">
        <v>195</v>
      </c>
      <c r="DM72" s="11">
        <v>45868.65032825232</v>
      </c>
      <c r="DN72" s="8" t="s">
        <v>195</v>
      </c>
      <c r="DO72" s="11">
        <v>45868.650301076384</v>
      </c>
      <c r="DP72" s="11"/>
      <c r="DQ72" s="11"/>
      <c r="DR72" s="11"/>
      <c r="DS72" s="11"/>
      <c r="DT72" s="11"/>
      <c r="DU72" s="11"/>
      <c r="DV72" s="11"/>
      <c r="DW72" s="8" t="s">
        <v>195</v>
      </c>
      <c r="DX72" s="11">
        <v>45868.650272604165</v>
      </c>
      <c r="DY72" s="8"/>
      <c r="DZ72" s="8"/>
      <c r="EA72" s="8" t="s">
        <v>203</v>
      </c>
      <c r="EB72" s="8" t="s">
        <v>284</v>
      </c>
      <c r="EC72" s="10"/>
      <c r="ED72" s="10">
        <v>45868.65177681713</v>
      </c>
    </row>
    <row r="73" ht="22.5" customHeight="1">
      <c r="A73" s="12"/>
      <c r="B73" s="6"/>
      <c r="C73" s="8" t="s">
        <v>229</v>
      </c>
      <c r="D73" s="8"/>
      <c r="E73" s="8" t="s">
        <v>136</v>
      </c>
      <c r="F73" s="7">
        <v>45869.0</v>
      </c>
      <c r="G73" s="8" t="s">
        <v>205</v>
      </c>
      <c r="H73" s="8" t="s">
        <v>206</v>
      </c>
      <c r="I73" s="7">
        <v>45869.0</v>
      </c>
      <c r="J73" s="8" t="s">
        <v>138</v>
      </c>
      <c r="K73" s="8" t="s">
        <v>139</v>
      </c>
      <c r="L73" s="8" t="s">
        <v>150</v>
      </c>
      <c r="M73" s="8">
        <v>2.50731001E8</v>
      </c>
      <c r="N73" s="8" t="s">
        <v>215</v>
      </c>
      <c r="O73" s="8"/>
      <c r="P73" s="8" t="s">
        <v>216</v>
      </c>
      <c r="Q73" s="8" t="s">
        <v>285</v>
      </c>
      <c r="R73" s="8" t="s">
        <v>208</v>
      </c>
      <c r="S73" s="8" t="s">
        <v>209</v>
      </c>
      <c r="T73" s="8" t="s">
        <v>242</v>
      </c>
      <c r="U73" s="8" t="s">
        <v>211</v>
      </c>
      <c r="V73" s="8" t="s">
        <v>206</v>
      </c>
      <c r="W73" s="8" t="s">
        <v>147</v>
      </c>
      <c r="X73" s="8" t="s">
        <v>147</v>
      </c>
      <c r="Y73" s="8"/>
      <c r="Z73" s="8" t="s">
        <v>147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 t="s">
        <v>147</v>
      </c>
      <c r="AO73" s="8"/>
      <c r="AP73" s="8"/>
      <c r="AQ73" s="8"/>
      <c r="AR73" s="8"/>
      <c r="AS73" s="8"/>
      <c r="AT73" s="8"/>
      <c r="AU73" s="8"/>
      <c r="AV73" s="8"/>
      <c r="AW73" s="8"/>
      <c r="AX73" s="8" t="s">
        <v>286</v>
      </c>
      <c r="AY73" s="8"/>
      <c r="AZ73" s="8"/>
      <c r="BA73" s="8"/>
      <c r="BB73" s="8"/>
      <c r="BC73" s="8"/>
      <c r="BD73" s="8"/>
      <c r="BE73" s="8"/>
      <c r="BF73" s="8" t="s">
        <v>211</v>
      </c>
      <c r="BG73" s="7"/>
      <c r="BH73" s="8"/>
      <c r="BI73" s="8" t="s">
        <v>163</v>
      </c>
      <c r="BJ73" s="8" t="s">
        <v>287</v>
      </c>
      <c r="BK73" s="7">
        <v>45873.0</v>
      </c>
      <c r="BL73" s="8"/>
      <c r="BM73" s="9"/>
      <c r="BN73" s="9"/>
      <c r="BO73" s="8" t="s">
        <v>288</v>
      </c>
      <c r="BP73" s="8"/>
      <c r="BQ73" s="8"/>
      <c r="BR73" s="8"/>
      <c r="BS73" s="8"/>
      <c r="BT73" s="8"/>
      <c r="BU73" s="8"/>
      <c r="BV73" s="8"/>
      <c r="BW73" s="7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11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11"/>
      <c r="DJ73" s="8"/>
      <c r="DK73" s="11"/>
      <c r="DL73" s="8"/>
      <c r="DM73" s="11"/>
      <c r="DN73" s="8"/>
      <c r="DO73" s="11"/>
      <c r="DP73" s="11"/>
      <c r="DQ73" s="11"/>
      <c r="DR73" s="11"/>
      <c r="DS73" s="11"/>
      <c r="DT73" s="11"/>
      <c r="DU73" s="11"/>
      <c r="DV73" s="11"/>
      <c r="DW73" s="8"/>
      <c r="DX73" s="11"/>
      <c r="DY73" s="8"/>
      <c r="DZ73" s="8"/>
      <c r="EA73" s="8"/>
      <c r="EB73" s="8"/>
      <c r="EC73" s="10"/>
      <c r="ED73" s="10"/>
    </row>
    <row r="74" ht="22.5" customHeight="1">
      <c r="A74" s="12"/>
      <c r="B74" s="6"/>
      <c r="C74" s="8" t="s">
        <v>229</v>
      </c>
      <c r="D74" s="8"/>
      <c r="E74" s="8" t="s">
        <v>136</v>
      </c>
      <c r="F74" s="7">
        <v>45874.0</v>
      </c>
      <c r="G74" s="8" t="s">
        <v>137</v>
      </c>
      <c r="H74" s="8" t="s">
        <v>135</v>
      </c>
      <c r="I74" s="7"/>
      <c r="J74" s="8"/>
      <c r="K74" s="8"/>
      <c r="L74" s="8"/>
      <c r="M74" s="8">
        <v>2.50805001E8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7"/>
      <c r="BH74" s="8"/>
      <c r="BI74" s="8" t="s">
        <v>163</v>
      </c>
      <c r="BJ74" s="8"/>
      <c r="BK74" s="7">
        <v>45896.0</v>
      </c>
      <c r="BL74" s="8"/>
      <c r="BM74" s="9"/>
      <c r="BN74" s="9"/>
      <c r="BO74" s="8" t="s">
        <v>289</v>
      </c>
      <c r="BP74" s="8"/>
      <c r="BQ74" s="8"/>
      <c r="BR74" s="8"/>
      <c r="BS74" s="8"/>
      <c r="BT74" s="8"/>
      <c r="BU74" s="8"/>
      <c r="BV74" s="8"/>
      <c r="BW74" s="7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11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11"/>
      <c r="DJ74" s="8"/>
      <c r="DK74" s="11"/>
      <c r="DL74" s="8"/>
      <c r="DM74" s="11"/>
      <c r="DN74" s="8"/>
      <c r="DO74" s="11"/>
      <c r="DP74" s="11"/>
      <c r="DQ74" s="11"/>
      <c r="DR74" s="11"/>
      <c r="DS74" s="11"/>
      <c r="DT74" s="11"/>
      <c r="DU74" s="11"/>
      <c r="DV74" s="11"/>
      <c r="DW74" s="8"/>
      <c r="DX74" s="11"/>
      <c r="DY74" s="8"/>
      <c r="DZ74" s="8"/>
      <c r="EA74" s="8"/>
      <c r="EB74" s="8"/>
      <c r="EC74" s="10"/>
      <c r="ED74" s="10"/>
    </row>
    <row r="75" ht="22.5" customHeight="1">
      <c r="A75" s="12"/>
      <c r="B75" s="6"/>
      <c r="C75" s="8" t="s">
        <v>202</v>
      </c>
      <c r="D75" s="8"/>
      <c r="E75" s="8" t="s">
        <v>136</v>
      </c>
      <c r="F75" s="7">
        <v>45874.0</v>
      </c>
      <c r="G75" s="8" t="s">
        <v>183</v>
      </c>
      <c r="H75" s="8" t="s">
        <v>135</v>
      </c>
      <c r="I75" s="7">
        <v>45881.0</v>
      </c>
      <c r="J75" s="8" t="s">
        <v>138</v>
      </c>
      <c r="K75" s="8" t="s">
        <v>139</v>
      </c>
      <c r="L75" s="8" t="s">
        <v>150</v>
      </c>
      <c r="M75" s="8">
        <v>2.50805002E8</v>
      </c>
      <c r="N75" s="8" t="s">
        <v>151</v>
      </c>
      <c r="O75" s="8" t="s">
        <v>152</v>
      </c>
      <c r="P75" s="8" t="s">
        <v>153</v>
      </c>
      <c r="Q75" s="8" t="s">
        <v>152</v>
      </c>
      <c r="R75" s="8" t="s">
        <v>154</v>
      </c>
      <c r="S75" s="8" t="s">
        <v>209</v>
      </c>
      <c r="T75" s="8" t="s">
        <v>242</v>
      </c>
      <c r="U75" s="8" t="s">
        <v>156</v>
      </c>
      <c r="V75" s="8" t="s">
        <v>135</v>
      </c>
      <c r="W75" s="8" t="s">
        <v>147</v>
      </c>
      <c r="X75" s="8" t="s">
        <v>147</v>
      </c>
      <c r="Y75" s="8" t="s">
        <v>147</v>
      </c>
      <c r="Z75" s="8" t="s">
        <v>147</v>
      </c>
      <c r="AA75" s="8" t="s">
        <v>147</v>
      </c>
      <c r="AB75" s="8" t="s">
        <v>147</v>
      </c>
      <c r="AC75" s="8" t="s">
        <v>147</v>
      </c>
      <c r="AD75" s="8" t="s">
        <v>147</v>
      </c>
      <c r="AE75" s="8" t="s">
        <v>147</v>
      </c>
      <c r="AF75" s="8" t="s">
        <v>147</v>
      </c>
      <c r="AG75" s="8" t="s">
        <v>147</v>
      </c>
      <c r="AH75" s="8" t="s">
        <v>147</v>
      </c>
      <c r="AI75" s="8" t="s">
        <v>147</v>
      </c>
      <c r="AJ75" s="8" t="s">
        <v>147</v>
      </c>
      <c r="AK75" s="8" t="s">
        <v>147</v>
      </c>
      <c r="AL75" s="8" t="s">
        <v>147</v>
      </c>
      <c r="AM75" s="8" t="s">
        <v>147</v>
      </c>
      <c r="AN75" s="8" t="s">
        <v>147</v>
      </c>
      <c r="AO75" s="8" t="s">
        <v>147</v>
      </c>
      <c r="AP75" s="8" t="s">
        <v>147</v>
      </c>
      <c r="AQ75" s="8" t="s">
        <v>147</v>
      </c>
      <c r="AR75" s="8" t="s">
        <v>147</v>
      </c>
      <c r="AS75" s="8" t="s">
        <v>136</v>
      </c>
      <c r="AT75" s="8" t="s">
        <v>159</v>
      </c>
      <c r="AU75" s="8" t="s">
        <v>136</v>
      </c>
      <c r="AV75" s="8" t="s">
        <v>159</v>
      </c>
      <c r="AW75" s="8">
        <v>123.0</v>
      </c>
      <c r="AX75" s="8" t="s">
        <v>237</v>
      </c>
      <c r="AY75" s="8" t="s">
        <v>232</v>
      </c>
      <c r="AZ75" s="8" t="s">
        <v>238</v>
      </c>
      <c r="BA75" s="8" t="s">
        <v>238</v>
      </c>
      <c r="BB75" s="8" t="s">
        <v>238</v>
      </c>
      <c r="BC75" s="8"/>
      <c r="BD75" s="8"/>
      <c r="BE75" s="8" t="s">
        <v>158</v>
      </c>
      <c r="BF75" s="8" t="s">
        <v>183</v>
      </c>
      <c r="BG75" s="7"/>
      <c r="BH75" s="8" t="s">
        <v>147</v>
      </c>
      <c r="BI75" s="8" t="s">
        <v>163</v>
      </c>
      <c r="BJ75" s="8" t="s">
        <v>219</v>
      </c>
      <c r="BK75" s="7">
        <v>45880.0</v>
      </c>
      <c r="BL75" s="8" t="s">
        <v>147</v>
      </c>
      <c r="BM75" s="9"/>
      <c r="BN75" s="9"/>
      <c r="BO75" s="8" t="s">
        <v>290</v>
      </c>
      <c r="BP75" s="8"/>
      <c r="BQ75" s="8">
        <v>123.0</v>
      </c>
      <c r="BR75" s="8" t="s">
        <v>291</v>
      </c>
      <c r="BS75" s="8" t="s">
        <v>197</v>
      </c>
      <c r="BT75" s="8" t="s">
        <v>136</v>
      </c>
      <c r="BU75" s="8" t="s">
        <v>261</v>
      </c>
      <c r="BV75" s="8" t="s">
        <v>197</v>
      </c>
      <c r="BW75" s="7">
        <v>45874.509130543986</v>
      </c>
      <c r="BX75" s="8" t="s">
        <v>202</v>
      </c>
      <c r="BY75" s="8"/>
      <c r="BZ75" s="8" t="s">
        <v>195</v>
      </c>
      <c r="CA75" s="8" t="s">
        <v>195</v>
      </c>
      <c r="CB75" s="8" t="s">
        <v>195</v>
      </c>
      <c r="CC75" s="8" t="s">
        <v>195</v>
      </c>
      <c r="CD75" s="8" t="s">
        <v>195</v>
      </c>
      <c r="CE75" s="8" t="s">
        <v>195</v>
      </c>
      <c r="CF75" s="8" t="s">
        <v>195</v>
      </c>
      <c r="CG75" s="8" t="s">
        <v>195</v>
      </c>
      <c r="CH75" s="8"/>
      <c r="CI75" s="8" t="s">
        <v>195</v>
      </c>
      <c r="CJ75" s="8"/>
      <c r="CK75" s="8"/>
      <c r="CL75" s="8">
        <v>123.0</v>
      </c>
      <c r="CM75" s="8" t="s">
        <v>197</v>
      </c>
      <c r="CN75" s="8" t="s">
        <v>198</v>
      </c>
      <c r="CO75" s="8" t="s">
        <v>223</v>
      </c>
      <c r="CP75" s="11">
        <v>45874.51171849537</v>
      </c>
      <c r="CQ75" s="8" t="s">
        <v>195</v>
      </c>
      <c r="CR75" s="8" t="s">
        <v>271</v>
      </c>
      <c r="CS75" s="8" t="s">
        <v>272</v>
      </c>
      <c r="CT75" s="8" t="s">
        <v>273</v>
      </c>
      <c r="CU75" s="8" t="s">
        <v>274</v>
      </c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 t="s">
        <v>195</v>
      </c>
      <c r="DI75" s="11">
        <v>45874.51092398148</v>
      </c>
      <c r="DJ75" s="8" t="s">
        <v>195</v>
      </c>
      <c r="DK75" s="11">
        <v>45874.51084113426</v>
      </c>
      <c r="DL75" s="8" t="s">
        <v>195</v>
      </c>
      <c r="DM75" s="11">
        <v>45874.5108705787</v>
      </c>
      <c r="DN75" s="8" t="s">
        <v>195</v>
      </c>
      <c r="DO75" s="11">
        <v>45874.51057351852</v>
      </c>
      <c r="DP75" s="11"/>
      <c r="DQ75" s="11"/>
      <c r="DR75" s="11"/>
      <c r="DS75" s="11"/>
      <c r="DT75" s="11"/>
      <c r="DU75" s="11"/>
      <c r="DV75" s="11"/>
      <c r="DW75" s="8" t="s">
        <v>195</v>
      </c>
      <c r="DX75" s="11">
        <v>45874.51074017361</v>
      </c>
      <c r="DY75" s="8"/>
      <c r="DZ75" s="8"/>
      <c r="EA75" s="8" t="s">
        <v>203</v>
      </c>
      <c r="EB75" s="8" t="s">
        <v>292</v>
      </c>
      <c r="EC75" s="8" t="s">
        <v>292</v>
      </c>
      <c r="ED75" s="10">
        <v>45874.513895462966</v>
      </c>
    </row>
    <row r="76" ht="22.5" customHeight="1">
      <c r="A76" s="12"/>
      <c r="B76" s="6"/>
      <c r="C76" s="8" t="s">
        <v>293</v>
      </c>
      <c r="D76" s="8"/>
      <c r="E76" s="8" t="s">
        <v>136</v>
      </c>
      <c r="F76" s="7"/>
      <c r="G76" s="8" t="s">
        <v>137</v>
      </c>
      <c r="H76" s="8" t="s">
        <v>135</v>
      </c>
      <c r="I76" s="7">
        <v>45881.0</v>
      </c>
      <c r="J76" s="8"/>
      <c r="K76" s="8"/>
      <c r="L76" s="8" t="s">
        <v>140</v>
      </c>
      <c r="M76" s="8">
        <v>2.50805003E8</v>
      </c>
      <c r="N76" s="8" t="s">
        <v>151</v>
      </c>
      <c r="O76" s="8"/>
      <c r="P76" s="8" t="s">
        <v>153</v>
      </c>
      <c r="Q76" s="8"/>
      <c r="R76" s="8"/>
      <c r="S76" s="8" t="s">
        <v>237</v>
      </c>
      <c r="T76" s="8" t="s">
        <v>238</v>
      </c>
      <c r="U76" s="8"/>
      <c r="V76" s="8"/>
      <c r="W76" s="8" t="s">
        <v>136</v>
      </c>
      <c r="X76" s="8" t="s">
        <v>136</v>
      </c>
      <c r="Y76" s="8" t="s">
        <v>163</v>
      </c>
      <c r="Z76" s="8" t="s">
        <v>136</v>
      </c>
      <c r="AA76" s="8" t="s">
        <v>163</v>
      </c>
      <c r="AB76" s="8" t="s">
        <v>136</v>
      </c>
      <c r="AC76" s="8" t="s">
        <v>163</v>
      </c>
      <c r="AD76" s="8" t="s">
        <v>136</v>
      </c>
      <c r="AE76" s="8" t="s">
        <v>136</v>
      </c>
      <c r="AF76" s="8" t="s">
        <v>136</v>
      </c>
      <c r="AG76" s="8" t="s">
        <v>163</v>
      </c>
      <c r="AH76" s="8" t="s">
        <v>163</v>
      </c>
      <c r="AI76" s="8" t="s">
        <v>163</v>
      </c>
      <c r="AJ76" s="8" t="s">
        <v>163</v>
      </c>
      <c r="AK76" s="8" t="s">
        <v>163</v>
      </c>
      <c r="AL76" s="8" t="s">
        <v>163</v>
      </c>
      <c r="AM76" s="8" t="s">
        <v>163</v>
      </c>
      <c r="AN76" s="8" t="s">
        <v>136</v>
      </c>
      <c r="AO76" s="8" t="s">
        <v>163</v>
      </c>
      <c r="AP76" s="8" t="s">
        <v>163</v>
      </c>
      <c r="AQ76" s="8" t="s">
        <v>163</v>
      </c>
      <c r="AR76" s="8" t="s">
        <v>163</v>
      </c>
      <c r="AS76" s="8"/>
      <c r="AT76" s="8"/>
      <c r="AU76" s="8"/>
      <c r="AV76" s="8"/>
      <c r="AW76" s="8"/>
      <c r="AX76" s="8" t="s">
        <v>209</v>
      </c>
      <c r="AY76" s="8"/>
      <c r="AZ76" s="8" t="s">
        <v>233</v>
      </c>
      <c r="BA76" s="8" t="s">
        <v>248</v>
      </c>
      <c r="BB76" s="8" t="s">
        <v>231</v>
      </c>
      <c r="BC76" s="8"/>
      <c r="BD76" s="8"/>
      <c r="BE76" s="8"/>
      <c r="BF76" s="8" t="s">
        <v>137</v>
      </c>
      <c r="BG76" s="7"/>
      <c r="BH76" s="8" t="s">
        <v>163</v>
      </c>
      <c r="BI76" s="8" t="s">
        <v>136</v>
      </c>
      <c r="BJ76" s="8" t="s">
        <v>185</v>
      </c>
      <c r="BK76" s="7">
        <v>45880.0</v>
      </c>
      <c r="BL76" s="8" t="s">
        <v>163</v>
      </c>
      <c r="BM76" s="9"/>
      <c r="BN76" s="9"/>
      <c r="BO76" s="8" t="s">
        <v>294</v>
      </c>
      <c r="BP76" s="8"/>
      <c r="BQ76" s="8">
        <v>123.0</v>
      </c>
      <c r="BR76" s="8" t="s">
        <v>295</v>
      </c>
      <c r="BS76" s="8" t="s">
        <v>197</v>
      </c>
      <c r="BT76" s="8" t="s">
        <v>136</v>
      </c>
      <c r="BU76" s="8"/>
      <c r="BV76" s="8"/>
      <c r="BW76" s="7">
        <v>45874.53414149306</v>
      </c>
      <c r="BX76" s="8" t="s">
        <v>188</v>
      </c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11">
        <v>45874.5348958449</v>
      </c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11"/>
      <c r="DJ76" s="8"/>
      <c r="DK76" s="11"/>
      <c r="DL76" s="8"/>
      <c r="DM76" s="11"/>
      <c r="DN76" s="8"/>
      <c r="DO76" s="11"/>
      <c r="DP76" s="11"/>
      <c r="DQ76" s="11"/>
      <c r="DR76" s="11"/>
      <c r="DS76" s="11"/>
      <c r="DT76" s="11"/>
      <c r="DU76" s="11"/>
      <c r="DV76" s="11"/>
      <c r="DW76" s="8"/>
      <c r="DX76" s="11"/>
      <c r="DY76" s="8"/>
      <c r="DZ76" s="8"/>
      <c r="EA76" s="8" t="s">
        <v>203</v>
      </c>
      <c r="EB76" s="8"/>
      <c r="EC76" s="8" t="s">
        <v>172</v>
      </c>
      <c r="ED76" s="10">
        <v>45874.53567424769</v>
      </c>
    </row>
    <row r="77" ht="22.5" customHeight="1">
      <c r="A77" s="12"/>
      <c r="B77" s="6"/>
      <c r="C77" s="8" t="s">
        <v>296</v>
      </c>
      <c r="D77" s="8"/>
      <c r="E77" s="8" t="s">
        <v>136</v>
      </c>
      <c r="F77" s="7">
        <v>45874.0</v>
      </c>
      <c r="G77" s="8" t="s">
        <v>137</v>
      </c>
      <c r="H77" s="8" t="s">
        <v>135</v>
      </c>
      <c r="I77" s="7">
        <v>45884.0</v>
      </c>
      <c r="J77" s="8" t="s">
        <v>138</v>
      </c>
      <c r="K77" s="8" t="s">
        <v>139</v>
      </c>
      <c r="L77" s="8" t="s">
        <v>140</v>
      </c>
      <c r="M77" s="8">
        <v>2.50805004E8</v>
      </c>
      <c r="N77" s="8" t="s">
        <v>151</v>
      </c>
      <c r="O77" s="8" t="s">
        <v>152</v>
      </c>
      <c r="P77" s="8" t="s">
        <v>153</v>
      </c>
      <c r="Q77" s="8" t="s">
        <v>152</v>
      </c>
      <c r="R77" s="8" t="s">
        <v>154</v>
      </c>
      <c r="S77" s="8" t="s">
        <v>209</v>
      </c>
      <c r="T77" s="8" t="s">
        <v>242</v>
      </c>
      <c r="U77" s="8" t="s">
        <v>156</v>
      </c>
      <c r="V77" s="8" t="s">
        <v>135</v>
      </c>
      <c r="W77" s="8" t="s">
        <v>163</v>
      </c>
      <c r="X77" s="8" t="s">
        <v>163</v>
      </c>
      <c r="Y77" s="8" t="s">
        <v>163</v>
      </c>
      <c r="Z77" s="8" t="s">
        <v>163</v>
      </c>
      <c r="AA77" s="8" t="s">
        <v>163</v>
      </c>
      <c r="AB77" s="8" t="s">
        <v>163</v>
      </c>
      <c r="AC77" s="8" t="s">
        <v>163</v>
      </c>
      <c r="AD77" s="8" t="s">
        <v>163</v>
      </c>
      <c r="AE77" s="8" t="s">
        <v>163</v>
      </c>
      <c r="AF77" s="8" t="s">
        <v>163</v>
      </c>
      <c r="AG77" s="8" t="s">
        <v>163</v>
      </c>
      <c r="AH77" s="8" t="s">
        <v>163</v>
      </c>
      <c r="AI77" s="8" t="s">
        <v>163</v>
      </c>
      <c r="AJ77" s="8" t="s">
        <v>163</v>
      </c>
      <c r="AK77" s="8" t="s">
        <v>163</v>
      </c>
      <c r="AL77" s="8" t="s">
        <v>163</v>
      </c>
      <c r="AM77" s="8" t="s">
        <v>163</v>
      </c>
      <c r="AN77" s="8" t="s">
        <v>163</v>
      </c>
      <c r="AO77" s="8" t="s">
        <v>163</v>
      </c>
      <c r="AP77" s="8" t="s">
        <v>163</v>
      </c>
      <c r="AQ77" s="8" t="s">
        <v>163</v>
      </c>
      <c r="AR77" s="8" t="s">
        <v>136</v>
      </c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 t="s">
        <v>137</v>
      </c>
      <c r="BG77" s="7"/>
      <c r="BH77" s="8" t="s">
        <v>163</v>
      </c>
      <c r="BI77" s="8" t="s">
        <v>136</v>
      </c>
      <c r="BJ77" s="8"/>
      <c r="BK77" s="7">
        <v>45883.0</v>
      </c>
      <c r="BL77" s="8" t="s">
        <v>163</v>
      </c>
      <c r="BM77" s="9"/>
      <c r="BN77" s="9"/>
      <c r="BO77" s="8" t="s">
        <v>297</v>
      </c>
      <c r="BP77" s="8"/>
      <c r="BQ77" s="8">
        <v>123.0</v>
      </c>
      <c r="BR77" s="8" t="s">
        <v>298</v>
      </c>
      <c r="BS77" s="8" t="s">
        <v>197</v>
      </c>
      <c r="BT77" s="8" t="s">
        <v>136</v>
      </c>
      <c r="BU77" s="8"/>
      <c r="BV77" s="8"/>
      <c r="BW77" s="7">
        <v>45874.56775248842</v>
      </c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11">
        <v>45874.569038692134</v>
      </c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11"/>
      <c r="DJ77" s="8"/>
      <c r="DK77" s="11"/>
      <c r="DL77" s="8"/>
      <c r="DM77" s="11"/>
      <c r="DN77" s="8"/>
      <c r="DO77" s="11"/>
      <c r="DP77" s="11"/>
      <c r="DQ77" s="11"/>
      <c r="DR77" s="11"/>
      <c r="DS77" s="8" t="s">
        <v>195</v>
      </c>
      <c r="DT77" s="11">
        <v>45874.56918071759</v>
      </c>
      <c r="DU77" s="11"/>
      <c r="DV77" s="11"/>
      <c r="DW77" s="8"/>
      <c r="DX77" s="11"/>
      <c r="DY77" s="8"/>
      <c r="DZ77" s="8"/>
      <c r="EA77" s="8"/>
      <c r="EB77" s="8"/>
      <c r="EC77" s="8"/>
      <c r="ED77" s="10"/>
    </row>
    <row r="78" ht="22.5" customHeight="1">
      <c r="A78" s="12"/>
      <c r="B78" s="6"/>
      <c r="C78" s="8" t="s">
        <v>296</v>
      </c>
      <c r="D78" s="8"/>
      <c r="E78" s="8" t="s">
        <v>136</v>
      </c>
      <c r="F78" s="7">
        <v>45874.0</v>
      </c>
      <c r="G78" s="8" t="s">
        <v>137</v>
      </c>
      <c r="H78" s="8" t="s">
        <v>135</v>
      </c>
      <c r="I78" s="7">
        <v>45882.0</v>
      </c>
      <c r="J78" s="8" t="s">
        <v>138</v>
      </c>
      <c r="K78" s="8" t="s">
        <v>139</v>
      </c>
      <c r="L78" s="8" t="s">
        <v>150</v>
      </c>
      <c r="M78" s="8">
        <v>2.50805005E8</v>
      </c>
      <c r="N78" s="8" t="s">
        <v>151</v>
      </c>
      <c r="O78" s="8" t="s">
        <v>152</v>
      </c>
      <c r="P78" s="8" t="s">
        <v>153</v>
      </c>
      <c r="Q78" s="8"/>
      <c r="R78" s="8"/>
      <c r="S78" s="8" t="s">
        <v>209</v>
      </c>
      <c r="T78" s="8" t="s">
        <v>242</v>
      </c>
      <c r="U78" s="8" t="s">
        <v>183</v>
      </c>
      <c r="V78" s="8" t="s">
        <v>135</v>
      </c>
      <c r="W78" s="8" t="s">
        <v>163</v>
      </c>
      <c r="X78" s="8" t="s">
        <v>163</v>
      </c>
      <c r="Y78" s="8" t="s">
        <v>163</v>
      </c>
      <c r="Z78" s="8" t="s">
        <v>163</v>
      </c>
      <c r="AA78" s="8" t="s">
        <v>163</v>
      </c>
      <c r="AB78" s="8" t="s">
        <v>163</v>
      </c>
      <c r="AC78" s="8" t="s">
        <v>163</v>
      </c>
      <c r="AD78" s="8" t="s">
        <v>163</v>
      </c>
      <c r="AE78" s="8" t="s">
        <v>163</v>
      </c>
      <c r="AF78" s="8" t="s">
        <v>163</v>
      </c>
      <c r="AG78" s="8" t="s">
        <v>163</v>
      </c>
      <c r="AH78" s="8" t="s">
        <v>163</v>
      </c>
      <c r="AI78" s="8" t="s">
        <v>163</v>
      </c>
      <c r="AJ78" s="8" t="s">
        <v>163</v>
      </c>
      <c r="AK78" s="8" t="s">
        <v>163</v>
      </c>
      <c r="AL78" s="8" t="s">
        <v>163</v>
      </c>
      <c r="AM78" s="8" t="s">
        <v>163</v>
      </c>
      <c r="AN78" s="8" t="s">
        <v>136</v>
      </c>
      <c r="AO78" s="8" t="s">
        <v>163</v>
      </c>
      <c r="AP78" s="8" t="s">
        <v>163</v>
      </c>
      <c r="AQ78" s="8" t="s">
        <v>136</v>
      </c>
      <c r="AR78" s="8" t="s">
        <v>136</v>
      </c>
      <c r="AS78" s="8" t="s">
        <v>136</v>
      </c>
      <c r="AT78" s="8" t="s">
        <v>159</v>
      </c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 t="s">
        <v>137</v>
      </c>
      <c r="BG78" s="7"/>
      <c r="BH78" s="8" t="s">
        <v>163</v>
      </c>
      <c r="BI78" s="8" t="s">
        <v>163</v>
      </c>
      <c r="BJ78" s="8" t="s">
        <v>219</v>
      </c>
      <c r="BK78" s="7">
        <v>45880.0</v>
      </c>
      <c r="BL78" s="8" t="s">
        <v>163</v>
      </c>
      <c r="BM78" s="9"/>
      <c r="BN78" s="9"/>
      <c r="BO78" s="8" t="s">
        <v>299</v>
      </c>
      <c r="BP78" s="8"/>
      <c r="BQ78" s="8">
        <v>123.0</v>
      </c>
      <c r="BR78" s="8" t="s">
        <v>300</v>
      </c>
      <c r="BS78" s="8" t="s">
        <v>197</v>
      </c>
      <c r="BT78" s="8" t="s">
        <v>136</v>
      </c>
      <c r="BU78" s="8"/>
      <c r="BV78" s="8"/>
      <c r="BW78" s="7">
        <v>45874.607272974536</v>
      </c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11">
        <v>45874.61033809028</v>
      </c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11"/>
      <c r="DJ78" s="8"/>
      <c r="DK78" s="11"/>
      <c r="DL78" s="8"/>
      <c r="DM78" s="11"/>
      <c r="DN78" s="8"/>
      <c r="DO78" s="11"/>
      <c r="DP78" s="11"/>
      <c r="DQ78" s="11"/>
      <c r="DR78" s="11"/>
      <c r="DS78" s="8" t="s">
        <v>195</v>
      </c>
      <c r="DT78" s="11">
        <v>45874.61043158565</v>
      </c>
      <c r="DU78" s="11"/>
      <c r="DV78" s="11"/>
      <c r="DW78" s="8"/>
      <c r="DX78" s="11"/>
      <c r="DY78" s="8"/>
      <c r="DZ78" s="8"/>
      <c r="EA78" s="8"/>
      <c r="EB78" s="8"/>
      <c r="EC78" s="8"/>
      <c r="ED78" s="10"/>
    </row>
    <row r="79" ht="22.5" customHeight="1">
      <c r="A79" s="12"/>
      <c r="B79" s="6"/>
      <c r="C79" s="8" t="s">
        <v>202</v>
      </c>
      <c r="D79" s="8"/>
      <c r="E79" s="8" t="s">
        <v>136</v>
      </c>
      <c r="F79" s="7">
        <v>45874.0</v>
      </c>
      <c r="G79" s="8" t="s">
        <v>137</v>
      </c>
      <c r="H79" s="8" t="s">
        <v>135</v>
      </c>
      <c r="I79" s="7">
        <v>45889.0</v>
      </c>
      <c r="J79" s="8" t="s">
        <v>138</v>
      </c>
      <c r="K79" s="8" t="s">
        <v>139</v>
      </c>
      <c r="L79" s="8" t="s">
        <v>140</v>
      </c>
      <c r="M79" s="8">
        <v>2.50805006E8</v>
      </c>
      <c r="N79" s="8" t="s">
        <v>151</v>
      </c>
      <c r="O79" s="8" t="s">
        <v>152</v>
      </c>
      <c r="P79" s="8" t="s">
        <v>153</v>
      </c>
      <c r="Q79" s="8" t="s">
        <v>152</v>
      </c>
      <c r="R79" s="8" t="s">
        <v>154</v>
      </c>
      <c r="S79" s="8" t="s">
        <v>247</v>
      </c>
      <c r="T79" s="8" t="s">
        <v>248</v>
      </c>
      <c r="U79" s="8" t="s">
        <v>183</v>
      </c>
      <c r="V79" s="8" t="s">
        <v>135</v>
      </c>
      <c r="W79" s="8" t="s">
        <v>163</v>
      </c>
      <c r="X79" s="8" t="s">
        <v>163</v>
      </c>
      <c r="Y79" s="8" t="s">
        <v>163</v>
      </c>
      <c r="Z79" s="8" t="s">
        <v>163</v>
      </c>
      <c r="AA79" s="8" t="s">
        <v>163</v>
      </c>
      <c r="AB79" s="8" t="s">
        <v>163</v>
      </c>
      <c r="AC79" s="8" t="s">
        <v>163</v>
      </c>
      <c r="AD79" s="8" t="s">
        <v>163</v>
      </c>
      <c r="AE79" s="8" t="s">
        <v>163</v>
      </c>
      <c r="AF79" s="8" t="s">
        <v>163</v>
      </c>
      <c r="AG79" s="8" t="s">
        <v>163</v>
      </c>
      <c r="AH79" s="8" t="s">
        <v>163</v>
      </c>
      <c r="AI79" s="8" t="s">
        <v>163</v>
      </c>
      <c r="AJ79" s="8" t="s">
        <v>163</v>
      </c>
      <c r="AK79" s="8" t="s">
        <v>163</v>
      </c>
      <c r="AL79" s="8" t="s">
        <v>163</v>
      </c>
      <c r="AM79" s="8" t="s">
        <v>136</v>
      </c>
      <c r="AN79" s="8" t="s">
        <v>136</v>
      </c>
      <c r="AO79" s="8" t="s">
        <v>163</v>
      </c>
      <c r="AP79" s="8" t="s">
        <v>136</v>
      </c>
      <c r="AQ79" s="8" t="s">
        <v>163</v>
      </c>
      <c r="AR79" s="8" t="s">
        <v>136</v>
      </c>
      <c r="AS79" s="8"/>
      <c r="AT79" s="8"/>
      <c r="AU79" s="8" t="s">
        <v>136</v>
      </c>
      <c r="AV79" s="8" t="s">
        <v>159</v>
      </c>
      <c r="AW79" s="8">
        <v>123.0</v>
      </c>
      <c r="AX79" s="8"/>
      <c r="AY79" s="8"/>
      <c r="AZ79" s="8"/>
      <c r="BA79" s="8"/>
      <c r="BB79" s="8"/>
      <c r="BC79" s="8"/>
      <c r="BD79" s="8"/>
      <c r="BE79" s="8"/>
      <c r="BF79" s="8" t="s">
        <v>137</v>
      </c>
      <c r="BG79" s="7"/>
      <c r="BH79" s="8" t="s">
        <v>163</v>
      </c>
      <c r="BI79" s="8" t="s">
        <v>136</v>
      </c>
      <c r="BJ79" s="8" t="s">
        <v>185</v>
      </c>
      <c r="BK79" s="7">
        <v>45880.0</v>
      </c>
      <c r="BL79" s="8" t="s">
        <v>163</v>
      </c>
      <c r="BM79" s="9"/>
      <c r="BN79" s="9"/>
      <c r="BO79" s="8" t="s">
        <v>301</v>
      </c>
      <c r="BP79" s="8"/>
      <c r="BQ79" s="8">
        <v>123.0</v>
      </c>
      <c r="BR79" s="8" t="s">
        <v>302</v>
      </c>
      <c r="BS79" s="8" t="s">
        <v>197</v>
      </c>
      <c r="BT79" s="8" t="s">
        <v>136</v>
      </c>
      <c r="BU79" s="8"/>
      <c r="BV79" s="8"/>
      <c r="BW79" s="7">
        <v>45874.62465240741</v>
      </c>
      <c r="BX79" s="8" t="s">
        <v>202</v>
      </c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 t="s">
        <v>196</v>
      </c>
      <c r="CK79" s="8" t="s">
        <v>197</v>
      </c>
      <c r="CL79" s="8">
        <v>123.0</v>
      </c>
      <c r="CM79" s="8" t="s">
        <v>197</v>
      </c>
      <c r="CN79" s="8"/>
      <c r="CO79" s="8"/>
      <c r="CP79" s="11">
        <v>45874.62547972222</v>
      </c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 t="s">
        <v>195</v>
      </c>
      <c r="DI79" s="11">
        <v>45874.625566608796</v>
      </c>
      <c r="DJ79" s="8"/>
      <c r="DK79" s="11"/>
      <c r="DL79" s="8"/>
      <c r="DM79" s="11"/>
      <c r="DN79" s="8"/>
      <c r="DO79" s="11"/>
      <c r="DP79" s="11"/>
      <c r="DQ79" s="11"/>
      <c r="DR79" s="11"/>
      <c r="DS79" s="8" t="s">
        <v>195</v>
      </c>
      <c r="DT79" s="11">
        <v>45874.62554165509</v>
      </c>
      <c r="DU79" s="11"/>
      <c r="DV79" s="11"/>
      <c r="DW79" s="8"/>
      <c r="DX79" s="11"/>
      <c r="DY79" s="8"/>
      <c r="DZ79" s="8"/>
      <c r="EA79" s="8" t="s">
        <v>303</v>
      </c>
      <c r="EB79" s="8"/>
      <c r="EC79" s="8"/>
      <c r="ED79" s="10">
        <v>45874.625547800926</v>
      </c>
    </row>
    <row r="80" ht="22.5" customHeight="1">
      <c r="A80" s="12"/>
      <c r="B80" s="6"/>
      <c r="C80" s="8" t="s">
        <v>202</v>
      </c>
      <c r="D80" s="8"/>
      <c r="E80" s="8" t="s">
        <v>136</v>
      </c>
      <c r="F80" s="7">
        <v>45874.0</v>
      </c>
      <c r="G80" s="8" t="s">
        <v>137</v>
      </c>
      <c r="H80" s="8" t="s">
        <v>135</v>
      </c>
      <c r="I80" s="7">
        <v>45883.0</v>
      </c>
      <c r="J80" s="8" t="s">
        <v>138</v>
      </c>
      <c r="K80" s="8" t="s">
        <v>139</v>
      </c>
      <c r="L80" s="8" t="s">
        <v>140</v>
      </c>
      <c r="M80" s="8">
        <v>2.50805007E8</v>
      </c>
      <c r="N80" s="8" t="s">
        <v>151</v>
      </c>
      <c r="O80" s="8" t="s">
        <v>152</v>
      </c>
      <c r="P80" s="8" t="s">
        <v>153</v>
      </c>
      <c r="Q80" s="8"/>
      <c r="R80" s="8" t="s">
        <v>154</v>
      </c>
      <c r="S80" s="8" t="s">
        <v>247</v>
      </c>
      <c r="T80" s="8" t="s">
        <v>248</v>
      </c>
      <c r="U80" s="8" t="s">
        <v>183</v>
      </c>
      <c r="V80" s="8" t="s">
        <v>135</v>
      </c>
      <c r="W80" s="8" t="s">
        <v>163</v>
      </c>
      <c r="X80" s="8" t="s">
        <v>163</v>
      </c>
      <c r="Y80" s="8" t="s">
        <v>163</v>
      </c>
      <c r="Z80" s="8" t="s">
        <v>163</v>
      </c>
      <c r="AA80" s="8" t="s">
        <v>163</v>
      </c>
      <c r="AB80" s="8" t="s">
        <v>163</v>
      </c>
      <c r="AC80" s="8" t="s">
        <v>163</v>
      </c>
      <c r="AD80" s="8" t="s">
        <v>163</v>
      </c>
      <c r="AE80" s="8" t="s">
        <v>163</v>
      </c>
      <c r="AF80" s="8" t="s">
        <v>163</v>
      </c>
      <c r="AG80" s="8" t="s">
        <v>163</v>
      </c>
      <c r="AH80" s="8" t="s">
        <v>163</v>
      </c>
      <c r="AI80" s="8" t="s">
        <v>163</v>
      </c>
      <c r="AJ80" s="8" t="s">
        <v>163</v>
      </c>
      <c r="AK80" s="8" t="s">
        <v>163</v>
      </c>
      <c r="AL80" s="8" t="s">
        <v>163</v>
      </c>
      <c r="AM80" s="8" t="s">
        <v>163</v>
      </c>
      <c r="AN80" s="8" t="s">
        <v>163</v>
      </c>
      <c r="AO80" s="8" t="s">
        <v>163</v>
      </c>
      <c r="AP80" s="8" t="s">
        <v>163</v>
      </c>
      <c r="AQ80" s="8" t="s">
        <v>163</v>
      </c>
      <c r="AR80" s="8" t="s">
        <v>163</v>
      </c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 t="s">
        <v>137</v>
      </c>
      <c r="BG80" s="7"/>
      <c r="BH80" s="8" t="s">
        <v>163</v>
      </c>
      <c r="BI80" s="8" t="s">
        <v>163</v>
      </c>
      <c r="BJ80" s="8"/>
      <c r="BK80" s="7">
        <v>45880.0</v>
      </c>
      <c r="BL80" s="8" t="s">
        <v>163</v>
      </c>
      <c r="BM80" s="9"/>
      <c r="BN80" s="9"/>
      <c r="BO80" s="8" t="s">
        <v>304</v>
      </c>
      <c r="BP80" s="8"/>
      <c r="BQ80" s="8">
        <v>123.0</v>
      </c>
      <c r="BR80" s="8" t="s">
        <v>305</v>
      </c>
      <c r="BS80" s="8" t="s">
        <v>197</v>
      </c>
      <c r="BT80" s="8" t="s">
        <v>136</v>
      </c>
      <c r="BU80" s="8"/>
      <c r="BV80" s="8"/>
      <c r="BW80" s="7">
        <v>45874.65167400463</v>
      </c>
      <c r="BX80" s="8" t="s">
        <v>202</v>
      </c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11">
        <v>45874.65207931713</v>
      </c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11"/>
      <c r="DJ80" s="8"/>
      <c r="DK80" s="11"/>
      <c r="DL80" s="8"/>
      <c r="DM80" s="11"/>
      <c r="DN80" s="8"/>
      <c r="DO80" s="11"/>
      <c r="DP80" s="11"/>
      <c r="DQ80" s="11"/>
      <c r="DR80" s="11"/>
      <c r="DS80" s="8"/>
      <c r="DT80" s="11"/>
      <c r="DU80" s="11"/>
      <c r="DV80" s="11"/>
      <c r="DW80" s="8"/>
      <c r="DX80" s="11"/>
      <c r="DY80" s="8"/>
      <c r="DZ80" s="8"/>
      <c r="EA80" s="8" t="s">
        <v>303</v>
      </c>
      <c r="EB80" s="8"/>
      <c r="EC80" s="8"/>
      <c r="ED80" s="10">
        <v>45874.65214825231</v>
      </c>
    </row>
    <row r="81" ht="22.5" customHeight="1">
      <c r="A81" s="12"/>
      <c r="B81" s="6"/>
      <c r="C81" s="8" t="s">
        <v>202</v>
      </c>
      <c r="D81" s="8"/>
      <c r="E81" s="8" t="s">
        <v>136</v>
      </c>
      <c r="F81" s="7">
        <v>45875.0</v>
      </c>
      <c r="G81" s="8" t="s">
        <v>137</v>
      </c>
      <c r="H81" s="8" t="s">
        <v>135</v>
      </c>
      <c r="I81" s="7">
        <v>45904.0</v>
      </c>
      <c r="J81" s="8" t="s">
        <v>138</v>
      </c>
      <c r="K81" s="8" t="s">
        <v>139</v>
      </c>
      <c r="L81" s="8" t="s">
        <v>140</v>
      </c>
      <c r="M81" s="8">
        <v>2.50806001E8</v>
      </c>
      <c r="N81" s="8" t="s">
        <v>151</v>
      </c>
      <c r="O81" s="8"/>
      <c r="P81" s="8" t="s">
        <v>153</v>
      </c>
      <c r="Q81" s="8"/>
      <c r="R81" s="8" t="s">
        <v>154</v>
      </c>
      <c r="S81" s="8" t="s">
        <v>306</v>
      </c>
      <c r="T81" s="8" t="s">
        <v>307</v>
      </c>
      <c r="U81" s="8" t="s">
        <v>183</v>
      </c>
      <c r="V81" s="8" t="s">
        <v>135</v>
      </c>
      <c r="W81" s="8" t="s">
        <v>163</v>
      </c>
      <c r="X81" s="8" t="s">
        <v>163</v>
      </c>
      <c r="Y81" s="8" t="s">
        <v>163</v>
      </c>
      <c r="Z81" s="8" t="s">
        <v>163</v>
      </c>
      <c r="AA81" s="8" t="s">
        <v>163</v>
      </c>
      <c r="AB81" s="8" t="s">
        <v>163</v>
      </c>
      <c r="AC81" s="8" t="s">
        <v>163</v>
      </c>
      <c r="AD81" s="8" t="s">
        <v>163</v>
      </c>
      <c r="AE81" s="8" t="s">
        <v>163</v>
      </c>
      <c r="AF81" s="8" t="s">
        <v>163</v>
      </c>
      <c r="AG81" s="8" t="s">
        <v>163</v>
      </c>
      <c r="AH81" s="8" t="s">
        <v>163</v>
      </c>
      <c r="AI81" s="8" t="s">
        <v>163</v>
      </c>
      <c r="AJ81" s="8" t="s">
        <v>163</v>
      </c>
      <c r="AK81" s="8" t="s">
        <v>163</v>
      </c>
      <c r="AL81" s="8" t="s">
        <v>163</v>
      </c>
      <c r="AM81" s="8" t="s">
        <v>136</v>
      </c>
      <c r="AN81" s="8" t="s">
        <v>163</v>
      </c>
      <c r="AO81" s="8" t="s">
        <v>163</v>
      </c>
      <c r="AP81" s="8" t="s">
        <v>163</v>
      </c>
      <c r="AQ81" s="8" t="s">
        <v>163</v>
      </c>
      <c r="AR81" s="8" t="s">
        <v>163</v>
      </c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 t="s">
        <v>137</v>
      </c>
      <c r="BG81" s="7"/>
      <c r="BH81" s="8" t="s">
        <v>163</v>
      </c>
      <c r="BI81" s="8" t="s">
        <v>136</v>
      </c>
      <c r="BJ81" s="8"/>
      <c r="BK81" s="7">
        <v>45895.0</v>
      </c>
      <c r="BL81" s="8" t="s">
        <v>163</v>
      </c>
      <c r="BM81" s="9"/>
      <c r="BN81" s="9"/>
      <c r="BO81" s="8" t="s">
        <v>308</v>
      </c>
      <c r="BP81" s="8"/>
      <c r="BQ81" s="8">
        <v>123.0</v>
      </c>
      <c r="BR81" s="8" t="s">
        <v>309</v>
      </c>
      <c r="BS81" s="8" t="s">
        <v>197</v>
      </c>
      <c r="BT81" s="8" t="s">
        <v>136</v>
      </c>
      <c r="BU81" s="8"/>
      <c r="BV81" s="8"/>
      <c r="BW81" s="7">
        <v>45875.433671446764</v>
      </c>
      <c r="BX81" s="8" t="s">
        <v>202</v>
      </c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11">
        <v>45875.43422855324</v>
      </c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 t="s">
        <v>195</v>
      </c>
      <c r="DI81" s="11">
        <v>45875.434197939816</v>
      </c>
      <c r="DJ81" s="8"/>
      <c r="DK81" s="11"/>
      <c r="DL81" s="8"/>
      <c r="DM81" s="11"/>
      <c r="DN81" s="8"/>
      <c r="DO81" s="11"/>
      <c r="DP81" s="11"/>
      <c r="DQ81" s="11"/>
      <c r="DR81" s="11"/>
      <c r="DS81" s="8"/>
      <c r="DT81" s="11"/>
      <c r="DU81" s="11"/>
      <c r="DV81" s="11"/>
      <c r="DW81" s="8"/>
      <c r="DX81" s="11"/>
      <c r="DY81" s="8"/>
      <c r="DZ81" s="8"/>
      <c r="EA81" s="8" t="s">
        <v>303</v>
      </c>
      <c r="EB81" s="8"/>
      <c r="EC81" s="8"/>
      <c r="ED81" s="10">
        <v>45875.43430746528</v>
      </c>
    </row>
    <row r="82" ht="22.5" customHeight="1">
      <c r="A82" s="12">
        <v>45875.456749398145</v>
      </c>
      <c r="B82" s="6"/>
      <c r="C82" s="8" t="s">
        <v>202</v>
      </c>
      <c r="D82" s="8"/>
      <c r="E82" s="8" t="s">
        <v>136</v>
      </c>
      <c r="F82" s="7">
        <v>45875.0</v>
      </c>
      <c r="G82" s="8" t="s">
        <v>137</v>
      </c>
      <c r="H82" s="8" t="s">
        <v>135</v>
      </c>
      <c r="I82" s="7">
        <v>45894.0</v>
      </c>
      <c r="J82" s="8" t="s">
        <v>138</v>
      </c>
      <c r="K82" s="8" t="s">
        <v>139</v>
      </c>
      <c r="L82" s="8" t="s">
        <v>140</v>
      </c>
      <c r="M82" s="8">
        <v>2.50806002E8</v>
      </c>
      <c r="N82" s="8" t="s">
        <v>151</v>
      </c>
      <c r="O82" s="8" t="s">
        <v>152</v>
      </c>
      <c r="P82" s="8" t="s">
        <v>153</v>
      </c>
      <c r="Q82" s="8"/>
      <c r="R82" s="8" t="s">
        <v>154</v>
      </c>
      <c r="S82" s="8" t="s">
        <v>310</v>
      </c>
      <c r="T82" s="8">
        <v>171.0</v>
      </c>
      <c r="U82" s="8" t="s">
        <v>156</v>
      </c>
      <c r="V82" s="8" t="s">
        <v>135</v>
      </c>
      <c r="W82" s="8" t="s">
        <v>163</v>
      </c>
      <c r="X82" s="8" t="s">
        <v>163</v>
      </c>
      <c r="Y82" s="8" t="s">
        <v>163</v>
      </c>
      <c r="Z82" s="8" t="s">
        <v>163</v>
      </c>
      <c r="AA82" s="8" t="s">
        <v>163</v>
      </c>
      <c r="AB82" s="8" t="s">
        <v>163</v>
      </c>
      <c r="AC82" s="8" t="s">
        <v>163</v>
      </c>
      <c r="AD82" s="8" t="s">
        <v>163</v>
      </c>
      <c r="AE82" s="8" t="s">
        <v>163</v>
      </c>
      <c r="AF82" s="8" t="s">
        <v>163</v>
      </c>
      <c r="AG82" s="8" t="s">
        <v>163</v>
      </c>
      <c r="AH82" s="8" t="s">
        <v>163</v>
      </c>
      <c r="AI82" s="8" t="s">
        <v>163</v>
      </c>
      <c r="AJ82" s="8" t="s">
        <v>163</v>
      </c>
      <c r="AK82" s="8" t="s">
        <v>163</v>
      </c>
      <c r="AL82" s="8" t="s">
        <v>163</v>
      </c>
      <c r="AM82" s="8" t="s">
        <v>163</v>
      </c>
      <c r="AN82" s="8" t="s">
        <v>163</v>
      </c>
      <c r="AO82" s="8" t="s">
        <v>163</v>
      </c>
      <c r="AP82" s="8" t="s">
        <v>163</v>
      </c>
      <c r="AQ82" s="8" t="s">
        <v>163</v>
      </c>
      <c r="AR82" s="8" t="s">
        <v>163</v>
      </c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 t="s">
        <v>137</v>
      </c>
      <c r="BG82" s="7"/>
      <c r="BH82" s="8" t="s">
        <v>163</v>
      </c>
      <c r="BI82" s="8" t="s">
        <v>163</v>
      </c>
      <c r="BJ82" s="8"/>
      <c r="BK82" s="7">
        <v>45891.0</v>
      </c>
      <c r="BL82" s="8" t="s">
        <v>163</v>
      </c>
      <c r="BM82" s="9"/>
      <c r="BN82" s="9"/>
      <c r="BO82" s="8" t="s">
        <v>311</v>
      </c>
      <c r="BP82" s="8"/>
      <c r="BQ82" s="8">
        <v>123.0</v>
      </c>
      <c r="BR82" s="8" t="s">
        <v>312</v>
      </c>
      <c r="BS82" s="8" t="s">
        <v>197</v>
      </c>
      <c r="BT82" s="8" t="s">
        <v>136</v>
      </c>
      <c r="BU82" s="8"/>
      <c r="BV82" s="8"/>
      <c r="BW82" s="7">
        <v>45875.45813409722</v>
      </c>
      <c r="BX82" s="8" t="s">
        <v>202</v>
      </c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11">
        <v>45875.46517614584</v>
      </c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11"/>
      <c r="DJ82" s="8"/>
      <c r="DK82" s="11"/>
      <c r="DL82" s="8"/>
      <c r="DM82" s="11"/>
      <c r="DN82" s="8"/>
      <c r="DO82" s="11"/>
      <c r="DP82" s="11"/>
      <c r="DQ82" s="11"/>
      <c r="DR82" s="11"/>
      <c r="DS82" s="8"/>
      <c r="DT82" s="11"/>
      <c r="DU82" s="11"/>
      <c r="DV82" s="11"/>
      <c r="DW82" s="8"/>
      <c r="DX82" s="11"/>
      <c r="DY82" s="8"/>
      <c r="DZ82" s="8"/>
      <c r="EA82" s="8" t="s">
        <v>303</v>
      </c>
      <c r="EB82" s="8"/>
      <c r="EC82" s="8"/>
      <c r="ED82" s="10">
        <v>45875.46526244213</v>
      </c>
    </row>
    <row r="83" ht="22.5" customHeight="1">
      <c r="A83" s="12">
        <v>45875.468286261574</v>
      </c>
      <c r="B83" s="6"/>
      <c r="C83" s="8" t="s">
        <v>202</v>
      </c>
      <c r="D83" s="8"/>
      <c r="E83" s="8" t="s">
        <v>136</v>
      </c>
      <c r="F83" s="7">
        <v>45875.0</v>
      </c>
      <c r="G83" s="8" t="s">
        <v>137</v>
      </c>
      <c r="H83" s="8" t="s">
        <v>135</v>
      </c>
      <c r="I83" s="7">
        <v>45896.0</v>
      </c>
      <c r="J83" s="8" t="s">
        <v>138</v>
      </c>
      <c r="K83" s="8" t="s">
        <v>139</v>
      </c>
      <c r="L83" s="8" t="s">
        <v>140</v>
      </c>
      <c r="M83" s="8">
        <v>2.50806003E8</v>
      </c>
      <c r="N83" s="8" t="s">
        <v>151</v>
      </c>
      <c r="O83" s="8" t="s">
        <v>133</v>
      </c>
      <c r="P83" s="8" t="s">
        <v>153</v>
      </c>
      <c r="Q83" s="8" t="s">
        <v>254</v>
      </c>
      <c r="R83" s="8" t="s">
        <v>154</v>
      </c>
      <c r="S83" s="8" t="s">
        <v>313</v>
      </c>
      <c r="T83" s="8">
        <v>44.0</v>
      </c>
      <c r="U83" s="8" t="s">
        <v>183</v>
      </c>
      <c r="V83" s="8" t="s">
        <v>135</v>
      </c>
      <c r="W83" s="8" t="s">
        <v>136</v>
      </c>
      <c r="X83" s="8" t="s">
        <v>136</v>
      </c>
      <c r="Y83" s="8" t="s">
        <v>136</v>
      </c>
      <c r="Z83" s="8" t="s">
        <v>136</v>
      </c>
      <c r="AA83" s="8" t="s">
        <v>136</v>
      </c>
      <c r="AB83" s="8" t="s">
        <v>136</v>
      </c>
      <c r="AC83" s="8" t="s">
        <v>136</v>
      </c>
      <c r="AD83" s="8" t="s">
        <v>136</v>
      </c>
      <c r="AE83" s="8" t="s">
        <v>136</v>
      </c>
      <c r="AF83" s="8" t="s">
        <v>136</v>
      </c>
      <c r="AG83" s="8" t="s">
        <v>136</v>
      </c>
      <c r="AH83" s="8" t="s">
        <v>136</v>
      </c>
      <c r="AI83" s="8" t="s">
        <v>136</v>
      </c>
      <c r="AJ83" s="8" t="s">
        <v>136</v>
      </c>
      <c r="AK83" s="8" t="s">
        <v>136</v>
      </c>
      <c r="AL83" s="8" t="s">
        <v>136</v>
      </c>
      <c r="AM83" s="8" t="s">
        <v>136</v>
      </c>
      <c r="AN83" s="8" t="s">
        <v>136</v>
      </c>
      <c r="AO83" s="8" t="s">
        <v>136</v>
      </c>
      <c r="AP83" s="8" t="s">
        <v>136</v>
      </c>
      <c r="AQ83" s="8" t="s">
        <v>136</v>
      </c>
      <c r="AR83" s="8" t="s">
        <v>136</v>
      </c>
      <c r="AS83" s="8" t="s">
        <v>163</v>
      </c>
      <c r="AT83" s="8"/>
      <c r="AU83" s="8" t="s">
        <v>163</v>
      </c>
      <c r="AV83" s="8"/>
      <c r="AW83" s="8"/>
      <c r="AX83" s="8" t="s">
        <v>314</v>
      </c>
      <c r="AY83" s="8" t="s">
        <v>315</v>
      </c>
      <c r="AZ83" s="8">
        <v>120.0</v>
      </c>
      <c r="BA83" s="8">
        <v>44.0</v>
      </c>
      <c r="BB83" s="8">
        <v>147.0</v>
      </c>
      <c r="BC83" s="8"/>
      <c r="BD83" s="8"/>
      <c r="BE83" s="8" t="s">
        <v>316</v>
      </c>
      <c r="BF83" s="8" t="s">
        <v>137</v>
      </c>
      <c r="BG83" s="7"/>
      <c r="BH83" s="8" t="s">
        <v>136</v>
      </c>
      <c r="BI83" s="8" t="s">
        <v>136</v>
      </c>
      <c r="BJ83" s="8" t="s">
        <v>185</v>
      </c>
      <c r="BK83" s="7">
        <v>45894.0</v>
      </c>
      <c r="BL83" s="8" t="s">
        <v>136</v>
      </c>
      <c r="BM83" s="9"/>
      <c r="BN83" s="9"/>
      <c r="BO83" s="8" t="s">
        <v>317</v>
      </c>
      <c r="BP83" s="8"/>
      <c r="BQ83" s="8">
        <v>123.0</v>
      </c>
      <c r="BR83" s="8" t="s">
        <v>318</v>
      </c>
      <c r="BS83" s="8" t="s">
        <v>197</v>
      </c>
      <c r="BT83" s="8" t="s">
        <v>136</v>
      </c>
      <c r="BU83" s="8"/>
      <c r="BV83" s="8"/>
      <c r="BW83" s="7">
        <v>45875.46891568287</v>
      </c>
      <c r="BX83" s="8" t="s">
        <v>202</v>
      </c>
      <c r="BY83" s="8"/>
      <c r="BZ83" s="8" t="s">
        <v>195</v>
      </c>
      <c r="CA83" s="8" t="s">
        <v>195</v>
      </c>
      <c r="CB83" s="8" t="s">
        <v>195</v>
      </c>
      <c r="CC83" s="8" t="s">
        <v>195</v>
      </c>
      <c r="CD83" s="8" t="s">
        <v>195</v>
      </c>
      <c r="CE83" s="8" t="s">
        <v>195</v>
      </c>
      <c r="CF83" s="8" t="s">
        <v>195</v>
      </c>
      <c r="CG83" s="8" t="s">
        <v>195</v>
      </c>
      <c r="CH83" s="8"/>
      <c r="CI83" s="8" t="s">
        <v>195</v>
      </c>
      <c r="CJ83" s="8" t="s">
        <v>196</v>
      </c>
      <c r="CK83" s="8" t="s">
        <v>197</v>
      </c>
      <c r="CL83" s="8">
        <v>123.0</v>
      </c>
      <c r="CM83" s="8" t="s">
        <v>197</v>
      </c>
      <c r="CN83" s="8" t="s">
        <v>198</v>
      </c>
      <c r="CO83" s="8" t="s">
        <v>223</v>
      </c>
      <c r="CP83" s="11">
        <v>45875.47072511574</v>
      </c>
      <c r="CQ83" s="8" t="s">
        <v>195</v>
      </c>
      <c r="CR83" s="8" t="s">
        <v>271</v>
      </c>
      <c r="CS83" s="8" t="s">
        <v>272</v>
      </c>
      <c r="CT83" s="8" t="s">
        <v>273</v>
      </c>
      <c r="CU83" s="8" t="s">
        <v>274</v>
      </c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 t="s">
        <v>195</v>
      </c>
      <c r="DI83" s="11">
        <v>45875.47094853009</v>
      </c>
      <c r="DJ83" s="8" t="s">
        <v>195</v>
      </c>
      <c r="DK83" s="11">
        <v>45875.470882696754</v>
      </c>
      <c r="DL83" s="8" t="s">
        <v>195</v>
      </c>
      <c r="DM83" s="11">
        <v>45875.47084144676</v>
      </c>
      <c r="DN83" s="8" t="s">
        <v>195</v>
      </c>
      <c r="DO83" s="11">
        <v>45875.470895810184</v>
      </c>
      <c r="DP83" s="11"/>
      <c r="DQ83" s="11"/>
      <c r="DR83" s="11"/>
      <c r="DS83" s="8" t="s">
        <v>195</v>
      </c>
      <c r="DT83" s="11">
        <v>45875.47098049769</v>
      </c>
      <c r="DU83" s="11"/>
      <c r="DV83" s="11"/>
      <c r="DW83" s="8" t="s">
        <v>195</v>
      </c>
      <c r="DX83" s="11">
        <v>45875.47092420139</v>
      </c>
      <c r="DY83" s="8"/>
      <c r="DZ83" s="8"/>
      <c r="EA83" s="8" t="s">
        <v>303</v>
      </c>
      <c r="EB83" s="8"/>
      <c r="EC83" s="8"/>
      <c r="ED83" s="10">
        <v>45875.47081119213</v>
      </c>
    </row>
    <row r="84" ht="22.5" customHeight="1">
      <c r="A84" s="12">
        <v>45875.500882002314</v>
      </c>
      <c r="B84" s="6"/>
      <c r="C84" s="8" t="s">
        <v>202</v>
      </c>
      <c r="D84" s="8"/>
      <c r="E84" s="8" t="s">
        <v>136</v>
      </c>
      <c r="F84" s="7">
        <v>45875.0</v>
      </c>
      <c r="G84" s="8" t="s">
        <v>137</v>
      </c>
      <c r="H84" s="8" t="s">
        <v>135</v>
      </c>
      <c r="I84" s="7">
        <v>45889.0</v>
      </c>
      <c r="J84" s="8" t="s">
        <v>138</v>
      </c>
      <c r="K84" s="8" t="s">
        <v>139</v>
      </c>
      <c r="L84" s="8" t="s">
        <v>140</v>
      </c>
      <c r="M84" s="8">
        <v>2.50806004E8</v>
      </c>
      <c r="N84" s="8" t="s">
        <v>151</v>
      </c>
      <c r="O84" s="8" t="s">
        <v>152</v>
      </c>
      <c r="P84" s="8" t="s">
        <v>153</v>
      </c>
      <c r="Q84" s="8" t="s">
        <v>152</v>
      </c>
      <c r="R84" s="8" t="s">
        <v>154</v>
      </c>
      <c r="S84" s="8" t="s">
        <v>319</v>
      </c>
      <c r="T84" s="8">
        <v>135.0</v>
      </c>
      <c r="U84" s="8" t="s">
        <v>183</v>
      </c>
      <c r="V84" s="8" t="s">
        <v>135</v>
      </c>
      <c r="W84" s="8" t="s">
        <v>163</v>
      </c>
      <c r="X84" s="8" t="s">
        <v>163</v>
      </c>
      <c r="Y84" s="8" t="s">
        <v>163</v>
      </c>
      <c r="Z84" s="8" t="s">
        <v>163</v>
      </c>
      <c r="AA84" s="8" t="s">
        <v>136</v>
      </c>
      <c r="AB84" s="8" t="s">
        <v>163</v>
      </c>
      <c r="AC84" s="8" t="s">
        <v>136</v>
      </c>
      <c r="AD84" s="8" t="s">
        <v>163</v>
      </c>
      <c r="AE84" s="8" t="s">
        <v>163</v>
      </c>
      <c r="AF84" s="8" t="s">
        <v>163</v>
      </c>
      <c r="AG84" s="8" t="s">
        <v>163</v>
      </c>
      <c r="AH84" s="8" t="s">
        <v>163</v>
      </c>
      <c r="AI84" s="8" t="s">
        <v>163</v>
      </c>
      <c r="AJ84" s="8" t="s">
        <v>163</v>
      </c>
      <c r="AK84" s="8" t="s">
        <v>163</v>
      </c>
      <c r="AL84" s="8" t="s">
        <v>163</v>
      </c>
      <c r="AM84" s="8" t="s">
        <v>136</v>
      </c>
      <c r="AN84" s="8" t="s">
        <v>136</v>
      </c>
      <c r="AO84" s="8" t="s">
        <v>163</v>
      </c>
      <c r="AP84" s="8" t="s">
        <v>163</v>
      </c>
      <c r="AQ84" s="8" t="s">
        <v>136</v>
      </c>
      <c r="AR84" s="8" t="s">
        <v>163</v>
      </c>
      <c r="AS84" s="8" t="s">
        <v>163</v>
      </c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 t="s">
        <v>158</v>
      </c>
      <c r="BF84" s="8" t="s">
        <v>137</v>
      </c>
      <c r="BG84" s="7"/>
      <c r="BH84" s="8" t="s">
        <v>136</v>
      </c>
      <c r="BI84" s="8" t="s">
        <v>136</v>
      </c>
      <c r="BJ84" s="8" t="s">
        <v>185</v>
      </c>
      <c r="BK84" s="7">
        <v>45888.0</v>
      </c>
      <c r="BL84" s="8" t="s">
        <v>163</v>
      </c>
      <c r="BM84" s="9"/>
      <c r="BN84" s="9"/>
      <c r="BO84" s="8" t="s">
        <v>320</v>
      </c>
      <c r="BP84" s="8"/>
      <c r="BQ84" s="8">
        <v>123.0</v>
      </c>
      <c r="BR84" s="8" t="s">
        <v>321</v>
      </c>
      <c r="BS84" s="8" t="s">
        <v>197</v>
      </c>
      <c r="BT84" s="8" t="s">
        <v>136</v>
      </c>
      <c r="BU84" s="8"/>
      <c r="BV84" s="8"/>
      <c r="BW84" s="7">
        <v>45875.502480173614</v>
      </c>
      <c r="BX84" s="8" t="s">
        <v>202</v>
      </c>
      <c r="BY84" s="8"/>
      <c r="BZ84" s="8" t="s">
        <v>195</v>
      </c>
      <c r="CA84" s="8"/>
      <c r="CB84" s="8" t="s">
        <v>195</v>
      </c>
      <c r="CC84" s="8"/>
      <c r="CD84" s="8"/>
      <c r="CE84" s="8"/>
      <c r="CF84" s="8"/>
      <c r="CG84" s="8"/>
      <c r="CH84" s="8"/>
      <c r="CI84" s="8"/>
      <c r="CJ84" s="8" t="s">
        <v>196</v>
      </c>
      <c r="CK84" s="8" t="s">
        <v>197</v>
      </c>
      <c r="CL84" s="8"/>
      <c r="CM84" s="8"/>
      <c r="CN84" s="8" t="s">
        <v>198</v>
      </c>
      <c r="CO84" s="8" t="s">
        <v>223</v>
      </c>
      <c r="CP84" s="11">
        <v>45875.5027671875</v>
      </c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 t="s">
        <v>195</v>
      </c>
      <c r="DI84" s="11">
        <v>45875.50262621528</v>
      </c>
      <c r="DJ84" s="8"/>
      <c r="DK84" s="11"/>
      <c r="DL84" s="8"/>
      <c r="DM84" s="11"/>
      <c r="DN84" s="8"/>
      <c r="DO84" s="11"/>
      <c r="DP84" s="11"/>
      <c r="DQ84" s="11"/>
      <c r="DR84" s="11"/>
      <c r="DS84" s="8"/>
      <c r="DT84" s="11"/>
      <c r="DU84" s="11"/>
      <c r="DV84" s="11"/>
      <c r="DW84" s="8" t="s">
        <v>195</v>
      </c>
      <c r="DX84" s="11">
        <v>45875.50257657407</v>
      </c>
      <c r="DY84" s="8"/>
      <c r="DZ84" s="8"/>
      <c r="EA84" s="8" t="s">
        <v>203</v>
      </c>
      <c r="EB84" s="8"/>
      <c r="EC84" s="8"/>
      <c r="ED84" s="10">
        <v>45875.504315115744</v>
      </c>
    </row>
    <row r="85" ht="22.5" customHeight="1">
      <c r="A85" s="12">
        <v>45876.504982488426</v>
      </c>
      <c r="B85" s="6"/>
      <c r="C85" s="8" t="s">
        <v>202</v>
      </c>
      <c r="D85" s="8"/>
      <c r="E85" s="8" t="s">
        <v>136</v>
      </c>
      <c r="F85" s="7">
        <v>45876.0</v>
      </c>
      <c r="G85" s="8" t="s">
        <v>137</v>
      </c>
      <c r="H85" s="8" t="s">
        <v>135</v>
      </c>
      <c r="I85" s="7">
        <v>45877.0</v>
      </c>
      <c r="J85" s="8" t="s">
        <v>138</v>
      </c>
      <c r="K85" s="8" t="s">
        <v>139</v>
      </c>
      <c r="L85" s="8" t="s">
        <v>140</v>
      </c>
      <c r="M85" s="8">
        <v>2.50807001E8</v>
      </c>
      <c r="N85" s="8" t="s">
        <v>151</v>
      </c>
      <c r="O85" s="8" t="s">
        <v>152</v>
      </c>
      <c r="P85" s="8" t="s">
        <v>153</v>
      </c>
      <c r="Q85" s="8" t="s">
        <v>152</v>
      </c>
      <c r="R85" s="8" t="s">
        <v>154</v>
      </c>
      <c r="S85" s="8" t="s">
        <v>322</v>
      </c>
      <c r="T85" s="8">
        <v>132.0</v>
      </c>
      <c r="U85" s="8" t="s">
        <v>183</v>
      </c>
      <c r="V85" s="8" t="s">
        <v>135</v>
      </c>
      <c r="W85" s="8" t="s">
        <v>136</v>
      </c>
      <c r="X85" s="8" t="s">
        <v>136</v>
      </c>
      <c r="Y85" s="8" t="s">
        <v>136</v>
      </c>
      <c r="Z85" s="8" t="s">
        <v>136</v>
      </c>
      <c r="AA85" s="8" t="s">
        <v>136</v>
      </c>
      <c r="AB85" s="8" t="s">
        <v>136</v>
      </c>
      <c r="AC85" s="8" t="s">
        <v>136</v>
      </c>
      <c r="AD85" s="8" t="s">
        <v>136</v>
      </c>
      <c r="AE85" s="8" t="s">
        <v>136</v>
      </c>
      <c r="AF85" s="8" t="s">
        <v>136</v>
      </c>
      <c r="AG85" s="8" t="s">
        <v>136</v>
      </c>
      <c r="AH85" s="8" t="s">
        <v>136</v>
      </c>
      <c r="AI85" s="8" t="s">
        <v>136</v>
      </c>
      <c r="AJ85" s="8" t="s">
        <v>136</v>
      </c>
      <c r="AK85" s="8" t="s">
        <v>136</v>
      </c>
      <c r="AL85" s="8" t="s">
        <v>136</v>
      </c>
      <c r="AM85" s="8" t="s">
        <v>136</v>
      </c>
      <c r="AN85" s="8" t="s">
        <v>136</v>
      </c>
      <c r="AO85" s="8" t="s">
        <v>136</v>
      </c>
      <c r="AP85" s="8" t="s">
        <v>136</v>
      </c>
      <c r="AQ85" s="8" t="s">
        <v>136</v>
      </c>
      <c r="AR85" s="8" t="s">
        <v>136</v>
      </c>
      <c r="AS85" s="8" t="s">
        <v>136</v>
      </c>
      <c r="AT85" s="8" t="s">
        <v>159</v>
      </c>
      <c r="AU85" s="8" t="s">
        <v>136</v>
      </c>
      <c r="AV85" s="8" t="s">
        <v>159</v>
      </c>
      <c r="AW85" s="8">
        <v>123.0</v>
      </c>
      <c r="AX85" s="8" t="s">
        <v>314</v>
      </c>
      <c r="AY85" s="8" t="s">
        <v>323</v>
      </c>
      <c r="AZ85" s="8">
        <v>194.0</v>
      </c>
      <c r="BA85" s="8">
        <v>171.0</v>
      </c>
      <c r="BB85" s="8">
        <v>132.0</v>
      </c>
      <c r="BC85" s="8"/>
      <c r="BD85" s="8"/>
      <c r="BE85" s="8" t="s">
        <v>158</v>
      </c>
      <c r="BF85" s="8" t="s">
        <v>137</v>
      </c>
      <c r="BG85" s="7"/>
      <c r="BH85" s="8" t="s">
        <v>136</v>
      </c>
      <c r="BI85" s="8" t="s">
        <v>136</v>
      </c>
      <c r="BJ85" s="8" t="s">
        <v>185</v>
      </c>
      <c r="BK85" s="7">
        <v>45877.0</v>
      </c>
      <c r="BL85" s="8" t="s">
        <v>136</v>
      </c>
      <c r="BM85" s="9"/>
      <c r="BN85" s="9"/>
      <c r="BO85" s="8" t="s">
        <v>324</v>
      </c>
      <c r="BP85" s="8"/>
      <c r="BQ85" s="8">
        <v>123.0</v>
      </c>
      <c r="BR85" s="8" t="s">
        <v>325</v>
      </c>
      <c r="BS85" s="8" t="s">
        <v>197</v>
      </c>
      <c r="BT85" s="8" t="s">
        <v>136</v>
      </c>
      <c r="BU85" s="8"/>
      <c r="BV85" s="8"/>
      <c r="BW85" s="7">
        <v>45876.51051707176</v>
      </c>
      <c r="BX85" s="8" t="s">
        <v>202</v>
      </c>
      <c r="BY85" s="8"/>
      <c r="BZ85" s="8" t="s">
        <v>195</v>
      </c>
      <c r="CA85" s="8" t="s">
        <v>195</v>
      </c>
      <c r="CB85" s="8" t="s">
        <v>195</v>
      </c>
      <c r="CC85" s="8" t="s">
        <v>195</v>
      </c>
      <c r="CD85" s="8" t="s">
        <v>195</v>
      </c>
      <c r="CE85" s="8" t="s">
        <v>195</v>
      </c>
      <c r="CF85" s="8" t="s">
        <v>195</v>
      </c>
      <c r="CG85" s="8" t="s">
        <v>195</v>
      </c>
      <c r="CH85" s="8"/>
      <c r="CI85" s="8" t="s">
        <v>195</v>
      </c>
      <c r="CJ85" s="8" t="s">
        <v>196</v>
      </c>
      <c r="CK85" s="8" t="s">
        <v>197</v>
      </c>
      <c r="CL85" s="8">
        <v>123.0</v>
      </c>
      <c r="CM85" s="8" t="s">
        <v>197</v>
      </c>
      <c r="CN85" s="8" t="s">
        <v>198</v>
      </c>
      <c r="CO85" s="8" t="s">
        <v>223</v>
      </c>
      <c r="CP85" s="11">
        <v>45876.51196855324</v>
      </c>
      <c r="CQ85" s="8" t="s">
        <v>195</v>
      </c>
      <c r="CR85" s="8" t="s">
        <v>271</v>
      </c>
      <c r="CS85" s="8" t="s">
        <v>272</v>
      </c>
      <c r="CT85" s="8" t="s">
        <v>273</v>
      </c>
      <c r="CU85" s="8" t="s">
        <v>274</v>
      </c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 t="s">
        <v>195</v>
      </c>
      <c r="DI85" s="11">
        <v>45876.5120084838</v>
      </c>
      <c r="DJ85" s="8" t="s">
        <v>195</v>
      </c>
      <c r="DK85" s="11">
        <v>45876.511970023144</v>
      </c>
      <c r="DL85" s="8" t="s">
        <v>195</v>
      </c>
      <c r="DM85" s="11">
        <v>45876.512122685184</v>
      </c>
      <c r="DN85" s="8" t="s">
        <v>195</v>
      </c>
      <c r="DO85" s="11">
        <v>45876.51221608796</v>
      </c>
      <c r="DP85" s="11"/>
      <c r="DQ85" s="11"/>
      <c r="DR85" s="11"/>
      <c r="DS85" s="8" t="s">
        <v>195</v>
      </c>
      <c r="DT85" s="11">
        <v>45876.512212800924</v>
      </c>
      <c r="DU85" s="11"/>
      <c r="DV85" s="11"/>
      <c r="DW85" s="8" t="s">
        <v>195</v>
      </c>
      <c r="DX85" s="11">
        <v>45876.51217180556</v>
      </c>
      <c r="DY85" s="8"/>
      <c r="DZ85" s="8"/>
      <c r="EA85" s="8" t="s">
        <v>203</v>
      </c>
      <c r="EB85" s="8"/>
      <c r="EC85" s="8"/>
      <c r="ED85" s="10">
        <v>45876.513026898145</v>
      </c>
    </row>
    <row r="86" ht="22.5" customHeight="1">
      <c r="A86" s="12">
        <v>45876.55894097222</v>
      </c>
      <c r="B86" s="6"/>
      <c r="C86" s="8" t="s">
        <v>202</v>
      </c>
      <c r="D86" s="8"/>
      <c r="E86" s="8" t="s">
        <v>136</v>
      </c>
      <c r="F86" s="7">
        <v>45876.0</v>
      </c>
      <c r="G86" s="8" t="s">
        <v>137</v>
      </c>
      <c r="H86" s="8" t="s">
        <v>135</v>
      </c>
      <c r="I86" s="7">
        <v>45881.0</v>
      </c>
      <c r="J86" s="8" t="s">
        <v>138</v>
      </c>
      <c r="K86" s="8" t="s">
        <v>139</v>
      </c>
      <c r="L86" s="8" t="s">
        <v>150</v>
      </c>
      <c r="M86" s="8">
        <v>2.50807002E8</v>
      </c>
      <c r="N86" s="8" t="s">
        <v>151</v>
      </c>
      <c r="O86" s="8" t="s">
        <v>152</v>
      </c>
      <c r="P86" s="8" t="s">
        <v>153</v>
      </c>
      <c r="Q86" s="8" t="s">
        <v>152</v>
      </c>
      <c r="R86" s="8" t="s">
        <v>154</v>
      </c>
      <c r="S86" s="8" t="s">
        <v>326</v>
      </c>
      <c r="T86" s="8">
        <v>120.0</v>
      </c>
      <c r="U86" s="8" t="s">
        <v>183</v>
      </c>
      <c r="V86" s="8" t="s">
        <v>135</v>
      </c>
      <c r="W86" s="8" t="s">
        <v>136</v>
      </c>
      <c r="X86" s="8" t="s">
        <v>136</v>
      </c>
      <c r="Y86" s="8" t="s">
        <v>136</v>
      </c>
      <c r="Z86" s="8" t="s">
        <v>136</v>
      </c>
      <c r="AA86" s="8" t="s">
        <v>136</v>
      </c>
      <c r="AB86" s="8" t="s">
        <v>136</v>
      </c>
      <c r="AC86" s="8" t="s">
        <v>136</v>
      </c>
      <c r="AD86" s="8" t="s">
        <v>136</v>
      </c>
      <c r="AE86" s="8" t="s">
        <v>136</v>
      </c>
      <c r="AF86" s="8" t="s">
        <v>136</v>
      </c>
      <c r="AG86" s="8" t="s">
        <v>136</v>
      </c>
      <c r="AH86" s="8" t="s">
        <v>136</v>
      </c>
      <c r="AI86" s="8" t="s">
        <v>136</v>
      </c>
      <c r="AJ86" s="8" t="s">
        <v>136</v>
      </c>
      <c r="AK86" s="8" t="s">
        <v>136</v>
      </c>
      <c r="AL86" s="8" t="s">
        <v>136</v>
      </c>
      <c r="AM86" s="8" t="s">
        <v>136</v>
      </c>
      <c r="AN86" s="8" t="s">
        <v>136</v>
      </c>
      <c r="AO86" s="8" t="s">
        <v>136</v>
      </c>
      <c r="AP86" s="8" t="s">
        <v>136</v>
      </c>
      <c r="AQ86" s="8" t="s">
        <v>136</v>
      </c>
      <c r="AR86" s="8" t="s">
        <v>136</v>
      </c>
      <c r="AS86" s="8" t="s">
        <v>136</v>
      </c>
      <c r="AT86" s="8" t="s">
        <v>159</v>
      </c>
      <c r="AU86" s="8" t="s">
        <v>136</v>
      </c>
      <c r="AV86" s="8" t="s">
        <v>159</v>
      </c>
      <c r="AW86" s="8">
        <v>123.0</v>
      </c>
      <c r="AX86" s="8" t="s">
        <v>327</v>
      </c>
      <c r="AY86" s="8" t="s">
        <v>310</v>
      </c>
      <c r="AZ86" s="8"/>
      <c r="BA86" s="8">
        <v>172.0</v>
      </c>
      <c r="BB86" s="8">
        <v>132.0</v>
      </c>
      <c r="BC86" s="8"/>
      <c r="BD86" s="8"/>
      <c r="BE86" s="8" t="s">
        <v>158</v>
      </c>
      <c r="BF86" s="8" t="s">
        <v>137</v>
      </c>
      <c r="BG86" s="7"/>
      <c r="BH86" s="8" t="s">
        <v>136</v>
      </c>
      <c r="BI86" s="8" t="s">
        <v>163</v>
      </c>
      <c r="BJ86" s="8" t="s">
        <v>219</v>
      </c>
      <c r="BK86" s="7">
        <v>45880.0</v>
      </c>
      <c r="BL86" s="8" t="s">
        <v>136</v>
      </c>
      <c r="BM86" s="9"/>
      <c r="BN86" s="9"/>
      <c r="BO86" s="8" t="s">
        <v>328</v>
      </c>
      <c r="BP86" s="8"/>
      <c r="BQ86" s="8">
        <v>123.0</v>
      </c>
      <c r="BR86" s="8" t="s">
        <v>329</v>
      </c>
      <c r="BS86" s="8" t="s">
        <v>197</v>
      </c>
      <c r="BT86" s="8" t="s">
        <v>136</v>
      </c>
      <c r="BU86" s="8"/>
      <c r="BV86" s="8"/>
      <c r="BW86" s="7">
        <v>45876.569972881945</v>
      </c>
      <c r="BX86" s="8" t="s">
        <v>202</v>
      </c>
      <c r="BY86" s="8"/>
      <c r="BZ86" s="8" t="s">
        <v>195</v>
      </c>
      <c r="CA86" s="8" t="s">
        <v>195</v>
      </c>
      <c r="CB86" s="8" t="s">
        <v>195</v>
      </c>
      <c r="CC86" s="8" t="s">
        <v>195</v>
      </c>
      <c r="CD86" s="8" t="s">
        <v>195</v>
      </c>
      <c r="CE86" s="8" t="s">
        <v>195</v>
      </c>
      <c r="CF86" s="8" t="s">
        <v>195</v>
      </c>
      <c r="CG86" s="8" t="s">
        <v>195</v>
      </c>
      <c r="CH86" s="8"/>
      <c r="CI86" s="8" t="s">
        <v>195</v>
      </c>
      <c r="CJ86" s="8" t="s">
        <v>196</v>
      </c>
      <c r="CK86" s="8" t="s">
        <v>197</v>
      </c>
      <c r="CL86" s="8">
        <v>123.0</v>
      </c>
      <c r="CM86" s="8" t="s">
        <v>197</v>
      </c>
      <c r="CN86" s="8" t="s">
        <v>198</v>
      </c>
      <c r="CO86" s="8" t="s">
        <v>223</v>
      </c>
      <c r="CP86" s="11">
        <v>45876.57631380787</v>
      </c>
      <c r="CQ86" s="8" t="s">
        <v>195</v>
      </c>
      <c r="CR86" s="8" t="s">
        <v>271</v>
      </c>
      <c r="CS86" s="8" t="s">
        <v>272</v>
      </c>
      <c r="CT86" s="8" t="s">
        <v>273</v>
      </c>
      <c r="CU86" s="8" t="s">
        <v>274</v>
      </c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 t="s">
        <v>195</v>
      </c>
      <c r="DI86" s="11">
        <v>45876.577114444444</v>
      </c>
      <c r="DJ86" s="8" t="s">
        <v>195</v>
      </c>
      <c r="DK86" s="11">
        <v>45876.577088425925</v>
      </c>
      <c r="DL86" s="8" t="s">
        <v>195</v>
      </c>
      <c r="DM86" s="11">
        <v>45876.579044363425</v>
      </c>
      <c r="DN86" s="8" t="s">
        <v>195</v>
      </c>
      <c r="DO86" s="11">
        <v>45876.579081828706</v>
      </c>
      <c r="DP86" s="11"/>
      <c r="DQ86" s="11"/>
      <c r="DR86" s="11"/>
      <c r="DS86" s="8" t="s">
        <v>195</v>
      </c>
      <c r="DT86" s="11">
        <v>45876.579145868054</v>
      </c>
      <c r="DU86" s="11"/>
      <c r="DV86" s="11"/>
      <c r="DW86" s="8" t="s">
        <v>195</v>
      </c>
      <c r="DX86" s="11">
        <v>45876.57910930556</v>
      </c>
      <c r="DY86" s="8"/>
      <c r="DZ86" s="8"/>
      <c r="EA86" s="8" t="s">
        <v>203</v>
      </c>
      <c r="EB86" s="8" t="s">
        <v>330</v>
      </c>
      <c r="EC86" s="8"/>
      <c r="ED86" s="10">
        <v>45876.586313541666</v>
      </c>
    </row>
    <row r="87" ht="22.5" customHeight="1">
      <c r="A87" s="12"/>
      <c r="B87" s="6"/>
      <c r="C87" s="8" t="s">
        <v>229</v>
      </c>
      <c r="D87" s="8"/>
      <c r="E87" s="8" t="s">
        <v>136</v>
      </c>
      <c r="F87" s="7">
        <v>45877.0</v>
      </c>
      <c r="G87" s="8" t="s">
        <v>137</v>
      </c>
      <c r="H87" s="8" t="s">
        <v>135</v>
      </c>
      <c r="I87" s="7">
        <v>45880.0</v>
      </c>
      <c r="J87" s="8" t="s">
        <v>138</v>
      </c>
      <c r="K87" s="8" t="s">
        <v>139</v>
      </c>
      <c r="L87" s="8" t="s">
        <v>150</v>
      </c>
      <c r="M87" s="8">
        <v>2.50808001E8</v>
      </c>
      <c r="N87" s="8" t="s">
        <v>151</v>
      </c>
      <c r="O87" s="8" t="s">
        <v>331</v>
      </c>
      <c r="P87" s="8" t="s">
        <v>332</v>
      </c>
      <c r="Q87" s="8" t="s">
        <v>254</v>
      </c>
      <c r="R87" s="8" t="s">
        <v>154</v>
      </c>
      <c r="S87" s="8" t="s">
        <v>333</v>
      </c>
      <c r="T87" s="8" t="s">
        <v>334</v>
      </c>
      <c r="U87" s="8" t="s">
        <v>183</v>
      </c>
      <c r="V87" s="8" t="s">
        <v>135</v>
      </c>
      <c r="W87" s="8" t="s">
        <v>136</v>
      </c>
      <c r="X87" s="8" t="s">
        <v>136</v>
      </c>
      <c r="Y87" s="8" t="s">
        <v>136</v>
      </c>
      <c r="Z87" s="8" t="s">
        <v>136</v>
      </c>
      <c r="AA87" s="8" t="s">
        <v>136</v>
      </c>
      <c r="AB87" s="8" t="s">
        <v>136</v>
      </c>
      <c r="AC87" s="8" t="s">
        <v>136</v>
      </c>
      <c r="AD87" s="8" t="s">
        <v>136</v>
      </c>
      <c r="AE87" s="8" t="s">
        <v>136</v>
      </c>
      <c r="AF87" s="8" t="s">
        <v>136</v>
      </c>
      <c r="AG87" s="8" t="s">
        <v>136</v>
      </c>
      <c r="AH87" s="8"/>
      <c r="AI87" s="8" t="s">
        <v>136</v>
      </c>
      <c r="AJ87" s="8" t="s">
        <v>136</v>
      </c>
      <c r="AK87" s="8" t="s">
        <v>136</v>
      </c>
      <c r="AL87" s="8" t="s">
        <v>136</v>
      </c>
      <c r="AM87" s="8" t="s">
        <v>136</v>
      </c>
      <c r="AN87" s="8" t="s">
        <v>136</v>
      </c>
      <c r="AO87" s="8" t="s">
        <v>136</v>
      </c>
      <c r="AP87" s="8" t="s">
        <v>136</v>
      </c>
      <c r="AQ87" s="8" t="s">
        <v>136</v>
      </c>
      <c r="AR87" s="8"/>
      <c r="AS87" s="8" t="s">
        <v>136</v>
      </c>
      <c r="AT87" s="8" t="s">
        <v>159</v>
      </c>
      <c r="AU87" s="8" t="s">
        <v>136</v>
      </c>
      <c r="AV87" s="8" t="s">
        <v>159</v>
      </c>
      <c r="AW87" s="8">
        <v>123.0</v>
      </c>
      <c r="AX87" s="8" t="s">
        <v>335</v>
      </c>
      <c r="AY87" s="8" t="s">
        <v>335</v>
      </c>
      <c r="AZ87" s="8" t="s">
        <v>336</v>
      </c>
      <c r="BA87" s="8" t="s">
        <v>336</v>
      </c>
      <c r="BB87" s="8" t="s">
        <v>337</v>
      </c>
      <c r="BC87" s="8"/>
      <c r="BD87" s="8"/>
      <c r="BE87" s="8" t="s">
        <v>158</v>
      </c>
      <c r="BF87" s="8" t="s">
        <v>137</v>
      </c>
      <c r="BG87" s="7"/>
      <c r="BH87" s="8" t="s">
        <v>136</v>
      </c>
      <c r="BI87" s="8" t="s">
        <v>163</v>
      </c>
      <c r="BJ87" s="8" t="s">
        <v>338</v>
      </c>
      <c r="BK87" s="7">
        <v>45880.0</v>
      </c>
      <c r="BL87" s="8" t="s">
        <v>136</v>
      </c>
      <c r="BM87" s="8" t="s">
        <v>136</v>
      </c>
      <c r="BN87" s="9"/>
      <c r="BO87" s="8" t="s">
        <v>339</v>
      </c>
      <c r="BP87" s="8"/>
      <c r="BQ87" s="8"/>
      <c r="BR87" s="8"/>
      <c r="BS87" s="8"/>
      <c r="BT87" s="8"/>
      <c r="BU87" s="8"/>
      <c r="BV87" s="8"/>
      <c r="BW87" s="7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11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11"/>
      <c r="DJ87" s="8"/>
      <c r="DK87" s="11"/>
      <c r="DL87" s="8"/>
      <c r="DM87" s="11"/>
      <c r="DN87" s="8"/>
      <c r="DO87" s="11"/>
      <c r="DP87" s="8" t="s">
        <v>136</v>
      </c>
      <c r="DQ87" s="11"/>
      <c r="DR87" s="11"/>
      <c r="DS87" s="8"/>
      <c r="DT87" s="11"/>
      <c r="DU87" s="11"/>
      <c r="DV87" s="11"/>
      <c r="DW87" s="8"/>
      <c r="DX87" s="11"/>
      <c r="DY87" s="8"/>
      <c r="DZ87" s="8"/>
      <c r="EA87" s="8"/>
      <c r="EB87" s="8"/>
      <c r="EC87" s="8"/>
      <c r="ED87" s="10"/>
    </row>
    <row r="88" ht="22.5" customHeight="1">
      <c r="A88" s="12"/>
      <c r="B88" s="6"/>
      <c r="C88" s="8" t="s">
        <v>229</v>
      </c>
      <c r="D88" s="8"/>
      <c r="E88" s="8" t="s">
        <v>136</v>
      </c>
      <c r="F88" s="7">
        <v>45877.0</v>
      </c>
      <c r="G88" s="8" t="s">
        <v>137</v>
      </c>
      <c r="H88" s="8" t="s">
        <v>135</v>
      </c>
      <c r="I88" s="7">
        <v>45880.0</v>
      </c>
      <c r="J88" s="8" t="s">
        <v>138</v>
      </c>
      <c r="K88" s="8" t="s">
        <v>139</v>
      </c>
      <c r="L88" s="8" t="s">
        <v>150</v>
      </c>
      <c r="M88" s="8">
        <v>2.50808002E8</v>
      </c>
      <c r="N88" s="8" t="s">
        <v>151</v>
      </c>
      <c r="O88" s="8" t="s">
        <v>331</v>
      </c>
      <c r="P88" s="8" t="s">
        <v>332</v>
      </c>
      <c r="Q88" s="8" t="s">
        <v>254</v>
      </c>
      <c r="R88" s="8" t="s">
        <v>154</v>
      </c>
      <c r="S88" s="8" t="s">
        <v>340</v>
      </c>
      <c r="T88" s="8" t="s">
        <v>341</v>
      </c>
      <c r="U88" s="8" t="s">
        <v>183</v>
      </c>
      <c r="V88" s="8" t="s">
        <v>135</v>
      </c>
      <c r="W88" s="8" t="s">
        <v>136</v>
      </c>
      <c r="X88" s="8" t="s">
        <v>136</v>
      </c>
      <c r="Y88" s="8" t="s">
        <v>136</v>
      </c>
      <c r="Z88" s="8" t="s">
        <v>136</v>
      </c>
      <c r="AA88" s="8" t="s">
        <v>136</v>
      </c>
      <c r="AB88" s="8" t="s">
        <v>136</v>
      </c>
      <c r="AC88" s="8" t="s">
        <v>136</v>
      </c>
      <c r="AD88" s="8" t="s">
        <v>136</v>
      </c>
      <c r="AE88" s="8" t="s">
        <v>136</v>
      </c>
      <c r="AF88" s="8" t="s">
        <v>136</v>
      </c>
      <c r="AG88" s="8" t="s">
        <v>136</v>
      </c>
      <c r="AH88" s="8"/>
      <c r="AI88" s="8" t="s">
        <v>136</v>
      </c>
      <c r="AJ88" s="8" t="s">
        <v>136</v>
      </c>
      <c r="AK88" s="8" t="s">
        <v>136</v>
      </c>
      <c r="AL88" s="8" t="s">
        <v>136</v>
      </c>
      <c r="AM88" s="8" t="s">
        <v>136</v>
      </c>
      <c r="AN88" s="8" t="s">
        <v>136</v>
      </c>
      <c r="AO88" s="8" t="s">
        <v>136</v>
      </c>
      <c r="AP88" s="8" t="s">
        <v>136</v>
      </c>
      <c r="AQ88" s="8" t="s">
        <v>136</v>
      </c>
      <c r="AR88" s="8"/>
      <c r="AS88" s="8" t="s">
        <v>163</v>
      </c>
      <c r="AT88" s="8"/>
      <c r="AU88" s="8" t="s">
        <v>163</v>
      </c>
      <c r="AV88" s="8"/>
      <c r="AW88" s="8"/>
      <c r="AX88" s="8" t="s">
        <v>342</v>
      </c>
      <c r="AY88" s="8" t="s">
        <v>343</v>
      </c>
      <c r="AZ88" s="8" t="s">
        <v>344</v>
      </c>
      <c r="BA88" s="8" t="s">
        <v>345</v>
      </c>
      <c r="BB88" s="8" t="s">
        <v>337</v>
      </c>
      <c r="BC88" s="8"/>
      <c r="BD88" s="8"/>
      <c r="BE88" s="8" t="s">
        <v>158</v>
      </c>
      <c r="BF88" s="8" t="s">
        <v>137</v>
      </c>
      <c r="BG88" s="7"/>
      <c r="BH88" s="8" t="s">
        <v>136</v>
      </c>
      <c r="BI88" s="8" t="s">
        <v>163</v>
      </c>
      <c r="BJ88" s="8" t="s">
        <v>338</v>
      </c>
      <c r="BK88" s="7">
        <v>45880.0</v>
      </c>
      <c r="BL88" s="8" t="s">
        <v>136</v>
      </c>
      <c r="BM88" s="8" t="s">
        <v>136</v>
      </c>
      <c r="BN88" s="9"/>
      <c r="BO88" s="8" t="s">
        <v>346</v>
      </c>
      <c r="BP88" s="8"/>
      <c r="BQ88" s="8"/>
      <c r="BR88" s="8"/>
      <c r="BS88" s="8"/>
      <c r="BT88" s="8"/>
      <c r="BU88" s="8"/>
      <c r="BV88" s="8"/>
      <c r="BW88" s="7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11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11"/>
      <c r="DJ88" s="8"/>
      <c r="DK88" s="11"/>
      <c r="DL88" s="8"/>
      <c r="DM88" s="11"/>
      <c r="DN88" s="8"/>
      <c r="DO88" s="11"/>
      <c r="DP88" s="8" t="s">
        <v>136</v>
      </c>
      <c r="DQ88" s="11"/>
      <c r="DR88" s="11"/>
      <c r="DS88" s="8"/>
      <c r="DT88" s="11"/>
      <c r="DU88" s="11"/>
      <c r="DV88" s="11"/>
      <c r="DW88" s="8"/>
      <c r="DX88" s="11"/>
      <c r="DY88" s="8"/>
      <c r="DZ88" s="8"/>
      <c r="EA88" s="8"/>
      <c r="EB88" s="8"/>
      <c r="EC88" s="8"/>
      <c r="ED88" s="10"/>
    </row>
    <row r="89" ht="22.5" customHeight="1">
      <c r="A89" s="12"/>
      <c r="B89" s="6"/>
      <c r="C89" s="8" t="s">
        <v>229</v>
      </c>
      <c r="D89" s="8"/>
      <c r="E89" s="8" t="s">
        <v>136</v>
      </c>
      <c r="F89" s="7">
        <v>45877.0</v>
      </c>
      <c r="G89" s="8" t="s">
        <v>137</v>
      </c>
      <c r="H89" s="8" t="s">
        <v>135</v>
      </c>
      <c r="I89" s="7">
        <v>45891.0</v>
      </c>
      <c r="J89" s="8" t="s">
        <v>138</v>
      </c>
      <c r="K89" s="8" t="s">
        <v>139</v>
      </c>
      <c r="L89" s="8" t="s">
        <v>150</v>
      </c>
      <c r="M89" s="8">
        <v>2.50808003E8</v>
      </c>
      <c r="N89" s="8" t="s">
        <v>151</v>
      </c>
      <c r="O89" s="8" t="s">
        <v>331</v>
      </c>
      <c r="P89" s="8" t="s">
        <v>332</v>
      </c>
      <c r="Q89" s="8" t="s">
        <v>254</v>
      </c>
      <c r="R89" s="8" t="s">
        <v>154</v>
      </c>
      <c r="S89" s="8" t="s">
        <v>340</v>
      </c>
      <c r="T89" s="8" t="s">
        <v>341</v>
      </c>
      <c r="U89" s="8" t="s">
        <v>183</v>
      </c>
      <c r="V89" s="8" t="s">
        <v>135</v>
      </c>
      <c r="W89" s="8" t="s">
        <v>136</v>
      </c>
      <c r="X89" s="8" t="s">
        <v>136</v>
      </c>
      <c r="Y89" s="8" t="s">
        <v>163</v>
      </c>
      <c r="Z89" s="8" t="s">
        <v>163</v>
      </c>
      <c r="AA89" s="8" t="s">
        <v>163</v>
      </c>
      <c r="AB89" s="8" t="s">
        <v>163</v>
      </c>
      <c r="AC89" s="8" t="s">
        <v>136</v>
      </c>
      <c r="AD89" s="8" t="s">
        <v>163</v>
      </c>
      <c r="AE89" s="8" t="s">
        <v>163</v>
      </c>
      <c r="AF89" s="8" t="s">
        <v>163</v>
      </c>
      <c r="AG89" s="8" t="s">
        <v>163</v>
      </c>
      <c r="AH89" s="8"/>
      <c r="AI89" s="8" t="s">
        <v>163</v>
      </c>
      <c r="AJ89" s="8" t="s">
        <v>163</v>
      </c>
      <c r="AK89" s="8" t="s">
        <v>163</v>
      </c>
      <c r="AL89" s="8" t="s">
        <v>163</v>
      </c>
      <c r="AM89" s="8" t="s">
        <v>163</v>
      </c>
      <c r="AN89" s="8" t="s">
        <v>136</v>
      </c>
      <c r="AO89" s="8" t="s">
        <v>136</v>
      </c>
      <c r="AP89" s="8" t="s">
        <v>163</v>
      </c>
      <c r="AQ89" s="8" t="s">
        <v>136</v>
      </c>
      <c r="AR89" s="8"/>
      <c r="AS89" s="8" t="s">
        <v>163</v>
      </c>
      <c r="AT89" s="8"/>
      <c r="AU89" s="8"/>
      <c r="AV89" s="8"/>
      <c r="AW89" s="8"/>
      <c r="AX89" s="8"/>
      <c r="AY89" s="8" t="s">
        <v>342</v>
      </c>
      <c r="AZ89" s="8"/>
      <c r="BA89" s="8"/>
      <c r="BB89" s="8"/>
      <c r="BC89" s="8"/>
      <c r="BD89" s="8"/>
      <c r="BE89" s="8"/>
      <c r="BF89" s="8" t="s">
        <v>137</v>
      </c>
      <c r="BG89" s="7"/>
      <c r="BH89" s="8" t="s">
        <v>163</v>
      </c>
      <c r="BI89" s="8" t="s">
        <v>163</v>
      </c>
      <c r="BJ89" s="8" t="s">
        <v>338</v>
      </c>
      <c r="BK89" s="7">
        <v>45889.0</v>
      </c>
      <c r="BL89" s="8" t="s">
        <v>136</v>
      </c>
      <c r="BM89" s="8" t="s">
        <v>163</v>
      </c>
      <c r="BN89" s="9"/>
      <c r="BO89" s="8" t="s">
        <v>347</v>
      </c>
      <c r="BP89" s="8"/>
      <c r="BQ89" s="8"/>
      <c r="BR89" s="8"/>
      <c r="BS89" s="8"/>
      <c r="BT89" s="8"/>
      <c r="BU89" s="8"/>
      <c r="BV89" s="8"/>
      <c r="BW89" s="7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11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11"/>
      <c r="DJ89" s="8"/>
      <c r="DK89" s="11"/>
      <c r="DL89" s="8"/>
      <c r="DM89" s="11"/>
      <c r="DN89" s="8"/>
      <c r="DO89" s="11"/>
      <c r="DP89" s="8" t="s">
        <v>163</v>
      </c>
      <c r="DQ89" s="11"/>
      <c r="DR89" s="11"/>
      <c r="DS89" s="8"/>
      <c r="DT89" s="11"/>
      <c r="DU89" s="11"/>
      <c r="DV89" s="11"/>
      <c r="DW89" s="8"/>
      <c r="DX89" s="11"/>
      <c r="DY89" s="8"/>
      <c r="DZ89" s="8"/>
      <c r="EA89" s="8"/>
      <c r="EB89" s="8"/>
      <c r="EC89" s="8"/>
      <c r="ED89" s="10"/>
    </row>
    <row r="90" ht="22.5" customHeight="1">
      <c r="A90" s="12"/>
      <c r="B90" s="6"/>
      <c r="C90" s="8" t="s">
        <v>229</v>
      </c>
      <c r="D90" s="8"/>
      <c r="E90" s="8" t="s">
        <v>136</v>
      </c>
      <c r="F90" s="7">
        <v>45877.0</v>
      </c>
      <c r="G90" s="8" t="s">
        <v>137</v>
      </c>
      <c r="H90" s="8" t="s">
        <v>135</v>
      </c>
      <c r="I90" s="7">
        <v>45890.0</v>
      </c>
      <c r="J90" s="8" t="s">
        <v>138</v>
      </c>
      <c r="K90" s="8" t="s">
        <v>139</v>
      </c>
      <c r="L90" s="8" t="s">
        <v>150</v>
      </c>
      <c r="M90" s="8">
        <v>2.50808004E8</v>
      </c>
      <c r="N90" s="8" t="s">
        <v>151</v>
      </c>
      <c r="O90" s="8" t="s">
        <v>152</v>
      </c>
      <c r="P90" s="8" t="s">
        <v>153</v>
      </c>
      <c r="Q90" s="8" t="s">
        <v>152</v>
      </c>
      <c r="R90" s="8" t="s">
        <v>154</v>
      </c>
      <c r="S90" s="8" t="s">
        <v>333</v>
      </c>
      <c r="T90" s="8" t="s">
        <v>334</v>
      </c>
      <c r="U90" s="8" t="s">
        <v>183</v>
      </c>
      <c r="V90" s="8" t="s">
        <v>135</v>
      </c>
      <c r="W90" s="8" t="s">
        <v>136</v>
      </c>
      <c r="X90" s="8" t="s">
        <v>136</v>
      </c>
      <c r="Y90" s="8" t="s">
        <v>163</v>
      </c>
      <c r="Z90" s="8" t="s">
        <v>163</v>
      </c>
      <c r="AA90" s="8" t="s">
        <v>163</v>
      </c>
      <c r="AB90" s="8" t="s">
        <v>163</v>
      </c>
      <c r="AC90" s="8" t="s">
        <v>136</v>
      </c>
      <c r="AD90" s="8" t="s">
        <v>163</v>
      </c>
      <c r="AE90" s="8" t="s">
        <v>163</v>
      </c>
      <c r="AF90" s="8" t="s">
        <v>163</v>
      </c>
      <c r="AG90" s="8" t="s">
        <v>163</v>
      </c>
      <c r="AH90" s="8"/>
      <c r="AI90" s="8" t="s">
        <v>163</v>
      </c>
      <c r="AJ90" s="8" t="s">
        <v>163</v>
      </c>
      <c r="AK90" s="8" t="s">
        <v>163</v>
      </c>
      <c r="AL90" s="8" t="s">
        <v>163</v>
      </c>
      <c r="AM90" s="8" t="s">
        <v>163</v>
      </c>
      <c r="AN90" s="8" t="s">
        <v>136</v>
      </c>
      <c r="AO90" s="8" t="s">
        <v>163</v>
      </c>
      <c r="AP90" s="8" t="s">
        <v>163</v>
      </c>
      <c r="AQ90" s="8" t="s">
        <v>136</v>
      </c>
      <c r="AR90" s="8"/>
      <c r="AS90" s="8" t="s">
        <v>136</v>
      </c>
      <c r="AT90" s="8" t="s">
        <v>159</v>
      </c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 t="s">
        <v>137</v>
      </c>
      <c r="BG90" s="7"/>
      <c r="BH90" s="8" t="s">
        <v>163</v>
      </c>
      <c r="BI90" s="8" t="s">
        <v>163</v>
      </c>
      <c r="BJ90" s="8" t="s">
        <v>219</v>
      </c>
      <c r="BK90" s="7">
        <v>45888.0</v>
      </c>
      <c r="BL90" s="8" t="s">
        <v>136</v>
      </c>
      <c r="BM90" s="8" t="s">
        <v>163</v>
      </c>
      <c r="BN90" s="9"/>
      <c r="BO90" s="8" t="s">
        <v>348</v>
      </c>
      <c r="BP90" s="8"/>
      <c r="BQ90" s="8"/>
      <c r="BR90" s="8"/>
      <c r="BS90" s="8"/>
      <c r="BT90" s="8"/>
      <c r="BU90" s="8"/>
      <c r="BV90" s="8"/>
      <c r="BW90" s="7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11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11"/>
      <c r="DJ90" s="8"/>
      <c r="DK90" s="11"/>
      <c r="DL90" s="8"/>
      <c r="DM90" s="11"/>
      <c r="DN90" s="8"/>
      <c r="DO90" s="11"/>
      <c r="DP90" s="8" t="s">
        <v>163</v>
      </c>
      <c r="DQ90" s="11"/>
      <c r="DR90" s="11"/>
      <c r="DS90" s="8"/>
      <c r="DT90" s="11"/>
      <c r="DU90" s="11"/>
      <c r="DV90" s="11"/>
      <c r="DW90" s="8"/>
      <c r="DX90" s="11"/>
      <c r="DY90" s="8"/>
      <c r="DZ90" s="8"/>
      <c r="EA90" s="8"/>
      <c r="EB90" s="8"/>
      <c r="EC90" s="8"/>
      <c r="ED90" s="10"/>
    </row>
    <row r="91" ht="22.5" customHeight="1">
      <c r="A91" s="12"/>
      <c r="B91" s="6"/>
      <c r="C91" s="8" t="s">
        <v>229</v>
      </c>
      <c r="D91" s="8"/>
      <c r="E91" s="8" t="s">
        <v>136</v>
      </c>
      <c r="F91" s="7">
        <v>45877.0</v>
      </c>
      <c r="G91" s="8" t="s">
        <v>137</v>
      </c>
      <c r="H91" s="8" t="s">
        <v>135</v>
      </c>
      <c r="I91" s="7">
        <v>45896.0</v>
      </c>
      <c r="J91" s="8" t="s">
        <v>138</v>
      </c>
      <c r="K91" s="8" t="s">
        <v>268</v>
      </c>
      <c r="L91" s="8" t="s">
        <v>150</v>
      </c>
      <c r="M91" s="8">
        <v>2.50808005E8</v>
      </c>
      <c r="N91" s="8" t="s">
        <v>151</v>
      </c>
      <c r="O91" s="8" t="s">
        <v>331</v>
      </c>
      <c r="P91" s="8" t="s">
        <v>332</v>
      </c>
      <c r="Q91" s="8" t="s">
        <v>254</v>
      </c>
      <c r="R91" s="8" t="s">
        <v>154</v>
      </c>
      <c r="S91" s="8" t="s">
        <v>349</v>
      </c>
      <c r="T91" s="8" t="s">
        <v>350</v>
      </c>
      <c r="U91" s="8" t="s">
        <v>183</v>
      </c>
      <c r="V91" s="8" t="s">
        <v>135</v>
      </c>
      <c r="W91" s="8" t="s">
        <v>136</v>
      </c>
      <c r="X91" s="8" t="s">
        <v>136</v>
      </c>
      <c r="Y91" s="8" t="s">
        <v>163</v>
      </c>
      <c r="Z91" s="8" t="s">
        <v>163</v>
      </c>
      <c r="AA91" s="8" t="s">
        <v>163</v>
      </c>
      <c r="AB91" s="8" t="s">
        <v>163</v>
      </c>
      <c r="AC91" s="8" t="s">
        <v>136</v>
      </c>
      <c r="AD91" s="8" t="s">
        <v>163</v>
      </c>
      <c r="AE91" s="8" t="s">
        <v>163</v>
      </c>
      <c r="AF91" s="8" t="s">
        <v>163</v>
      </c>
      <c r="AG91" s="8" t="s">
        <v>163</v>
      </c>
      <c r="AH91" s="8"/>
      <c r="AI91" s="8" t="s">
        <v>163</v>
      </c>
      <c r="AJ91" s="8" t="s">
        <v>163</v>
      </c>
      <c r="AK91" s="8" t="s">
        <v>163</v>
      </c>
      <c r="AL91" s="8" t="s">
        <v>163</v>
      </c>
      <c r="AM91" s="8" t="s">
        <v>163</v>
      </c>
      <c r="AN91" s="8" t="s">
        <v>136</v>
      </c>
      <c r="AO91" s="8" t="s">
        <v>163</v>
      </c>
      <c r="AP91" s="8" t="s">
        <v>136</v>
      </c>
      <c r="AQ91" s="8" t="s">
        <v>163</v>
      </c>
      <c r="AR91" s="8"/>
      <c r="AS91" s="8"/>
      <c r="AT91" s="8"/>
      <c r="AU91" s="8" t="s">
        <v>163</v>
      </c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 t="s">
        <v>137</v>
      </c>
      <c r="BG91" s="7"/>
      <c r="BH91" s="8" t="s">
        <v>163</v>
      </c>
      <c r="BI91" s="8" t="s">
        <v>163</v>
      </c>
      <c r="BJ91" s="8" t="s">
        <v>338</v>
      </c>
      <c r="BK91" s="7">
        <v>45895.0</v>
      </c>
      <c r="BL91" s="8" t="s">
        <v>163</v>
      </c>
      <c r="BM91" s="8" t="s">
        <v>163</v>
      </c>
      <c r="BN91" s="9"/>
      <c r="BO91" s="8" t="s">
        <v>351</v>
      </c>
      <c r="BP91" s="8"/>
      <c r="BQ91" s="8"/>
      <c r="BR91" s="8"/>
      <c r="BS91" s="8"/>
      <c r="BT91" s="8"/>
      <c r="BU91" s="8"/>
      <c r="BV91" s="8"/>
      <c r="BW91" s="7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11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11"/>
      <c r="DJ91" s="8"/>
      <c r="DK91" s="11"/>
      <c r="DL91" s="8"/>
      <c r="DM91" s="11"/>
      <c r="DN91" s="8"/>
      <c r="DO91" s="11"/>
      <c r="DP91" s="8" t="s">
        <v>163</v>
      </c>
      <c r="DQ91" s="11"/>
      <c r="DR91" s="11"/>
      <c r="DS91" s="8"/>
      <c r="DT91" s="11"/>
      <c r="DU91" s="11"/>
      <c r="DV91" s="11"/>
      <c r="DW91" s="8"/>
      <c r="DX91" s="11"/>
      <c r="DY91" s="8"/>
      <c r="DZ91" s="8"/>
      <c r="EA91" s="8"/>
      <c r="EB91" s="8"/>
      <c r="EC91" s="8"/>
      <c r="ED91" s="10"/>
    </row>
    <row r="92" ht="22.5" customHeight="1">
      <c r="A92" s="12"/>
      <c r="B92" s="6"/>
      <c r="C92" s="8" t="s">
        <v>229</v>
      </c>
      <c r="D92" s="8"/>
      <c r="E92" s="8" t="s">
        <v>136</v>
      </c>
      <c r="F92" s="7">
        <v>45877.0</v>
      </c>
      <c r="G92" s="8" t="s">
        <v>137</v>
      </c>
      <c r="H92" s="8" t="s">
        <v>135</v>
      </c>
      <c r="I92" s="7">
        <v>45897.0</v>
      </c>
      <c r="J92" s="8" t="s">
        <v>138</v>
      </c>
      <c r="K92" s="8" t="s">
        <v>139</v>
      </c>
      <c r="L92" s="8" t="s">
        <v>150</v>
      </c>
      <c r="M92" s="8">
        <v>2.50808006E8</v>
      </c>
      <c r="N92" s="8" t="s">
        <v>151</v>
      </c>
      <c r="O92" s="8" t="s">
        <v>152</v>
      </c>
      <c r="P92" s="8" t="s">
        <v>153</v>
      </c>
      <c r="Q92" s="8" t="s">
        <v>152</v>
      </c>
      <c r="R92" s="8" t="s">
        <v>154</v>
      </c>
      <c r="S92" s="8" t="s">
        <v>340</v>
      </c>
      <c r="T92" s="8" t="s">
        <v>341</v>
      </c>
      <c r="U92" s="8" t="s">
        <v>183</v>
      </c>
      <c r="V92" s="8" t="s">
        <v>135</v>
      </c>
      <c r="W92" s="8" t="s">
        <v>136</v>
      </c>
      <c r="X92" s="8" t="s">
        <v>136</v>
      </c>
      <c r="Y92" s="8" t="s">
        <v>163</v>
      </c>
      <c r="Z92" s="8" t="s">
        <v>163</v>
      </c>
      <c r="AA92" s="8" t="s">
        <v>163</v>
      </c>
      <c r="AB92" s="8" t="s">
        <v>163</v>
      </c>
      <c r="AC92" s="8" t="s">
        <v>136</v>
      </c>
      <c r="AD92" s="8" t="s">
        <v>163</v>
      </c>
      <c r="AE92" s="8" t="s">
        <v>163</v>
      </c>
      <c r="AF92" s="8" t="s">
        <v>163</v>
      </c>
      <c r="AG92" s="8" t="s">
        <v>163</v>
      </c>
      <c r="AH92" s="8"/>
      <c r="AI92" s="8" t="s">
        <v>163</v>
      </c>
      <c r="AJ92" s="8" t="s">
        <v>163</v>
      </c>
      <c r="AK92" s="8" t="s">
        <v>163</v>
      </c>
      <c r="AL92" s="8" t="s">
        <v>163</v>
      </c>
      <c r="AM92" s="8" t="s">
        <v>163</v>
      </c>
      <c r="AN92" s="8" t="s">
        <v>136</v>
      </c>
      <c r="AO92" s="8" t="s">
        <v>163</v>
      </c>
      <c r="AP92" s="8" t="s">
        <v>136</v>
      </c>
      <c r="AQ92" s="8" t="s">
        <v>163</v>
      </c>
      <c r="AR92" s="8"/>
      <c r="AS92" s="8"/>
      <c r="AT92" s="8"/>
      <c r="AU92" s="8" t="s">
        <v>163</v>
      </c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 t="s">
        <v>137</v>
      </c>
      <c r="BG92" s="7"/>
      <c r="BH92" s="8" t="s">
        <v>163</v>
      </c>
      <c r="BI92" s="8" t="s">
        <v>163</v>
      </c>
      <c r="BJ92" s="8" t="s">
        <v>219</v>
      </c>
      <c r="BK92" s="7">
        <v>45896.0</v>
      </c>
      <c r="BL92" s="8" t="s">
        <v>136</v>
      </c>
      <c r="BM92" s="8" t="s">
        <v>136</v>
      </c>
      <c r="BN92" s="9"/>
      <c r="BO92" s="8" t="s">
        <v>352</v>
      </c>
      <c r="BP92" s="8"/>
      <c r="BQ92" s="8"/>
      <c r="BR92" s="8"/>
      <c r="BS92" s="8"/>
      <c r="BT92" s="8"/>
      <c r="BU92" s="8"/>
      <c r="BV92" s="8"/>
      <c r="BW92" s="7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11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11"/>
      <c r="DJ92" s="8"/>
      <c r="DK92" s="11"/>
      <c r="DL92" s="8"/>
      <c r="DM92" s="11"/>
      <c r="DN92" s="8"/>
      <c r="DO92" s="11"/>
      <c r="DP92" s="8" t="s">
        <v>136</v>
      </c>
      <c r="DQ92" s="11"/>
      <c r="DR92" s="11"/>
      <c r="DS92" s="8"/>
      <c r="DT92" s="11"/>
      <c r="DU92" s="11"/>
      <c r="DV92" s="11"/>
      <c r="DW92" s="8"/>
      <c r="DX92" s="11"/>
      <c r="DY92" s="8"/>
      <c r="DZ92" s="8"/>
      <c r="EA92" s="8"/>
      <c r="EB92" s="8"/>
      <c r="EC92" s="8"/>
      <c r="ED92" s="10"/>
    </row>
    <row r="93" ht="22.5" customHeight="1">
      <c r="A93" s="12"/>
      <c r="B93" s="6"/>
      <c r="C93" s="8" t="s">
        <v>202</v>
      </c>
      <c r="D93" s="8"/>
      <c r="E93" s="8" t="s">
        <v>136</v>
      </c>
      <c r="F93" s="7">
        <v>45877.0</v>
      </c>
      <c r="G93" s="8" t="s">
        <v>137</v>
      </c>
      <c r="H93" s="8" t="s">
        <v>135</v>
      </c>
      <c r="I93" s="7">
        <v>45896.0</v>
      </c>
      <c r="J93" s="8" t="s">
        <v>138</v>
      </c>
      <c r="K93" s="8" t="s">
        <v>139</v>
      </c>
      <c r="L93" s="8" t="s">
        <v>150</v>
      </c>
      <c r="M93" s="8">
        <v>2.50808007E8</v>
      </c>
      <c r="N93" s="8" t="s">
        <v>151</v>
      </c>
      <c r="O93" s="8" t="s">
        <v>152</v>
      </c>
      <c r="P93" s="8" t="s">
        <v>153</v>
      </c>
      <c r="Q93" s="8" t="s">
        <v>152</v>
      </c>
      <c r="R93" s="8" t="s">
        <v>154</v>
      </c>
      <c r="S93" s="8" t="s">
        <v>333</v>
      </c>
      <c r="T93" s="8" t="s">
        <v>334</v>
      </c>
      <c r="U93" s="8" t="s">
        <v>183</v>
      </c>
      <c r="V93" s="8" t="s">
        <v>135</v>
      </c>
      <c r="W93" s="8" t="s">
        <v>136</v>
      </c>
      <c r="X93" s="8" t="s">
        <v>136</v>
      </c>
      <c r="Y93" s="8" t="s">
        <v>163</v>
      </c>
      <c r="Z93" s="8" t="s">
        <v>163</v>
      </c>
      <c r="AA93" s="8" t="s">
        <v>163</v>
      </c>
      <c r="AB93" s="8" t="s">
        <v>163</v>
      </c>
      <c r="AC93" s="8" t="s">
        <v>136</v>
      </c>
      <c r="AD93" s="8" t="s">
        <v>163</v>
      </c>
      <c r="AE93" s="8" t="s">
        <v>163</v>
      </c>
      <c r="AF93" s="8" t="s">
        <v>163</v>
      </c>
      <c r="AG93" s="8" t="s">
        <v>163</v>
      </c>
      <c r="AH93" s="8"/>
      <c r="AI93" s="8" t="s">
        <v>163</v>
      </c>
      <c r="AJ93" s="8" t="s">
        <v>163</v>
      </c>
      <c r="AK93" s="8" t="s">
        <v>163</v>
      </c>
      <c r="AL93" s="8" t="s">
        <v>163</v>
      </c>
      <c r="AM93" s="8" t="s">
        <v>163</v>
      </c>
      <c r="AN93" s="8" t="s">
        <v>136</v>
      </c>
      <c r="AO93" s="8" t="s">
        <v>163</v>
      </c>
      <c r="AP93" s="8" t="s">
        <v>136</v>
      </c>
      <c r="AQ93" s="8" t="s">
        <v>163</v>
      </c>
      <c r="AR93" s="8"/>
      <c r="AS93" s="8"/>
      <c r="AT93" s="8"/>
      <c r="AU93" s="8" t="s">
        <v>163</v>
      </c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 t="s">
        <v>137</v>
      </c>
      <c r="BG93" s="7"/>
      <c r="BH93" s="8" t="s">
        <v>163</v>
      </c>
      <c r="BI93" s="8" t="s">
        <v>163</v>
      </c>
      <c r="BJ93" s="8" t="s">
        <v>219</v>
      </c>
      <c r="BK93" s="7">
        <v>45895.0</v>
      </c>
      <c r="BL93" s="8" t="s">
        <v>136</v>
      </c>
      <c r="BM93" s="8" t="s">
        <v>136</v>
      </c>
      <c r="BN93" s="9"/>
      <c r="BO93" s="8" t="s">
        <v>353</v>
      </c>
      <c r="BP93" s="8"/>
      <c r="BQ93" s="8">
        <v>123.0</v>
      </c>
      <c r="BR93" s="8" t="s">
        <v>354</v>
      </c>
      <c r="BS93" s="8" t="s">
        <v>197</v>
      </c>
      <c r="BT93" s="8" t="s">
        <v>136</v>
      </c>
      <c r="BU93" s="8" t="s">
        <v>261</v>
      </c>
      <c r="BV93" s="8" t="s">
        <v>197</v>
      </c>
      <c r="BW93" s="7">
        <v>45877.48650564815</v>
      </c>
      <c r="BX93" s="8" t="s">
        <v>202</v>
      </c>
      <c r="BY93" s="8"/>
      <c r="BZ93" s="8"/>
      <c r="CA93" s="8"/>
      <c r="CB93" s="8"/>
      <c r="CC93" s="8"/>
      <c r="CD93" s="8"/>
      <c r="CE93" s="8"/>
      <c r="CF93" s="8"/>
      <c r="CG93" s="8"/>
      <c r="CH93" s="8" t="s">
        <v>195</v>
      </c>
      <c r="CI93" s="8"/>
      <c r="CJ93" s="8" t="s">
        <v>196</v>
      </c>
      <c r="CK93" s="8" t="s">
        <v>197</v>
      </c>
      <c r="CL93" s="8">
        <v>123.0</v>
      </c>
      <c r="CM93" s="8" t="s">
        <v>197</v>
      </c>
      <c r="CN93" s="8"/>
      <c r="CO93" s="8"/>
      <c r="CP93" s="11">
        <v>45877.48773008102</v>
      </c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11"/>
      <c r="DJ93" s="8"/>
      <c r="DK93" s="11"/>
      <c r="DL93" s="8" t="s">
        <v>195</v>
      </c>
      <c r="DM93" s="11">
        <v>45877.487574583334</v>
      </c>
      <c r="DN93" s="8"/>
      <c r="DO93" s="11"/>
      <c r="DP93" s="8" t="s">
        <v>136</v>
      </c>
      <c r="DQ93" s="8" t="s">
        <v>195</v>
      </c>
      <c r="DR93" s="11">
        <v>45877.48779209491</v>
      </c>
      <c r="DS93" s="8"/>
      <c r="DT93" s="11"/>
      <c r="DU93" s="8" t="s">
        <v>195</v>
      </c>
      <c r="DV93" s="11">
        <v>45877.48763376157</v>
      </c>
      <c r="DW93" s="8" t="s">
        <v>195</v>
      </c>
      <c r="DX93" s="11">
        <v>45877.487574583334</v>
      </c>
      <c r="DY93" s="8"/>
      <c r="DZ93" s="8"/>
      <c r="EA93" s="8" t="s">
        <v>203</v>
      </c>
      <c r="EB93" s="8"/>
      <c r="EC93" s="8"/>
      <c r="ED93" s="10">
        <v>45877.48960327546</v>
      </c>
    </row>
    <row r="94" ht="22.5" customHeight="1">
      <c r="A94" s="12"/>
      <c r="B94" s="6"/>
      <c r="C94" s="8" t="s">
        <v>244</v>
      </c>
      <c r="D94" s="8"/>
      <c r="E94" s="8" t="s">
        <v>136</v>
      </c>
      <c r="F94" s="7">
        <v>45877.0</v>
      </c>
      <c r="G94" s="8" t="s">
        <v>137</v>
      </c>
      <c r="H94" s="8" t="s">
        <v>135</v>
      </c>
      <c r="I94" s="7">
        <v>45877.0</v>
      </c>
      <c r="J94" s="8" t="s">
        <v>138</v>
      </c>
      <c r="K94" s="8" t="s">
        <v>139</v>
      </c>
      <c r="L94" s="8" t="s">
        <v>150</v>
      </c>
      <c r="M94" s="8">
        <v>2.50808008E8</v>
      </c>
      <c r="N94" s="8" t="s">
        <v>151</v>
      </c>
      <c r="O94" s="8" t="s">
        <v>152</v>
      </c>
      <c r="P94" s="8" t="s">
        <v>153</v>
      </c>
      <c r="Q94" s="8" t="s">
        <v>152</v>
      </c>
      <c r="R94" s="8" t="s">
        <v>154</v>
      </c>
      <c r="S94" s="8" t="s">
        <v>355</v>
      </c>
      <c r="T94" s="8" t="s">
        <v>356</v>
      </c>
      <c r="U94" s="8" t="s">
        <v>183</v>
      </c>
      <c r="V94" s="8" t="s">
        <v>135</v>
      </c>
      <c r="W94" s="8" t="s">
        <v>163</v>
      </c>
      <c r="X94" s="8" t="s">
        <v>163</v>
      </c>
      <c r="Y94" s="8" t="s">
        <v>163</v>
      </c>
      <c r="Z94" s="8" t="s">
        <v>163</v>
      </c>
      <c r="AA94" s="8" t="s">
        <v>163</v>
      </c>
      <c r="AB94" s="8" t="s">
        <v>163</v>
      </c>
      <c r="AC94" s="8" t="s">
        <v>163</v>
      </c>
      <c r="AD94" s="8" t="s">
        <v>163</v>
      </c>
      <c r="AE94" s="8" t="s">
        <v>163</v>
      </c>
      <c r="AF94" s="8" t="s">
        <v>163</v>
      </c>
      <c r="AG94" s="8" t="s">
        <v>163</v>
      </c>
      <c r="AH94" s="8"/>
      <c r="AI94" s="8" t="s">
        <v>163</v>
      </c>
      <c r="AJ94" s="8" t="s">
        <v>163</v>
      </c>
      <c r="AK94" s="8" t="s">
        <v>163</v>
      </c>
      <c r="AL94" s="8" t="s">
        <v>163</v>
      </c>
      <c r="AM94" s="8" t="s">
        <v>136</v>
      </c>
      <c r="AN94" s="8" t="s">
        <v>136</v>
      </c>
      <c r="AO94" s="8" t="s">
        <v>163</v>
      </c>
      <c r="AP94" s="8" t="s">
        <v>163</v>
      </c>
      <c r="AQ94" s="8" t="s">
        <v>163</v>
      </c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 t="s">
        <v>137</v>
      </c>
      <c r="BG94" s="7"/>
      <c r="BH94" s="8" t="s">
        <v>163</v>
      </c>
      <c r="BI94" s="8" t="s">
        <v>163</v>
      </c>
      <c r="BJ94" s="8" t="s">
        <v>219</v>
      </c>
      <c r="BK94" s="7">
        <v>45877.0</v>
      </c>
      <c r="BL94" s="8" t="s">
        <v>163</v>
      </c>
      <c r="BM94" s="8" t="s">
        <v>163</v>
      </c>
      <c r="BN94" s="8" t="s">
        <v>357</v>
      </c>
      <c r="BO94" s="8" t="s">
        <v>358</v>
      </c>
      <c r="BP94" s="8"/>
      <c r="BQ94" s="8"/>
      <c r="BR94" s="8" t="s">
        <v>359</v>
      </c>
      <c r="BS94" s="8" t="s">
        <v>197</v>
      </c>
      <c r="BT94" s="8" t="s">
        <v>136</v>
      </c>
      <c r="BU94" s="8"/>
      <c r="BV94" s="8"/>
      <c r="BW94" s="7">
        <v>45877.513109548614</v>
      </c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 t="s">
        <v>196</v>
      </c>
      <c r="CK94" s="8" t="s">
        <v>197</v>
      </c>
      <c r="CL94" s="8"/>
      <c r="CM94" s="8"/>
      <c r="CN94" s="8"/>
      <c r="CO94" s="8"/>
      <c r="CP94" s="11">
        <v>45877.5141534375</v>
      </c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11"/>
      <c r="DJ94" s="8"/>
      <c r="DK94" s="11"/>
      <c r="DL94" s="8"/>
      <c r="DM94" s="11"/>
      <c r="DN94" s="8"/>
      <c r="DO94" s="11"/>
      <c r="DP94" s="8" t="s">
        <v>163</v>
      </c>
      <c r="DQ94" s="8"/>
      <c r="DR94" s="11"/>
      <c r="DS94" s="8"/>
      <c r="DT94" s="11"/>
      <c r="DU94" s="8"/>
      <c r="DV94" s="11"/>
      <c r="DW94" s="8"/>
      <c r="DX94" s="11"/>
      <c r="DY94" s="8"/>
      <c r="DZ94" s="8"/>
      <c r="EA94" s="8"/>
      <c r="EB94" s="8"/>
      <c r="EC94" s="8"/>
      <c r="ED94" s="10"/>
    </row>
    <row r="95" ht="22.5" customHeight="1">
      <c r="A95" s="12"/>
      <c r="B95" s="6"/>
      <c r="C95" s="8" t="s">
        <v>244</v>
      </c>
      <c r="D95" s="8"/>
      <c r="E95" s="8" t="s">
        <v>136</v>
      </c>
      <c r="F95" s="7">
        <v>45877.0</v>
      </c>
      <c r="G95" s="8" t="s">
        <v>137</v>
      </c>
      <c r="H95" s="8" t="s">
        <v>135</v>
      </c>
      <c r="I95" s="7">
        <v>45898.0</v>
      </c>
      <c r="J95" s="8" t="s">
        <v>138</v>
      </c>
      <c r="K95" s="8" t="s">
        <v>139</v>
      </c>
      <c r="L95" s="8" t="s">
        <v>150</v>
      </c>
      <c r="M95" s="8">
        <v>2.50808009E8</v>
      </c>
      <c r="N95" s="8" t="s">
        <v>151</v>
      </c>
      <c r="O95" s="8" t="s">
        <v>331</v>
      </c>
      <c r="P95" s="8" t="s">
        <v>332</v>
      </c>
      <c r="Q95" s="8" t="s">
        <v>254</v>
      </c>
      <c r="R95" s="8" t="s">
        <v>154</v>
      </c>
      <c r="S95" s="8" t="s">
        <v>360</v>
      </c>
      <c r="T95" s="8" t="s">
        <v>361</v>
      </c>
      <c r="U95" s="8" t="s">
        <v>183</v>
      </c>
      <c r="V95" s="8"/>
      <c r="W95" s="8" t="s">
        <v>163</v>
      </c>
      <c r="X95" s="8" t="s">
        <v>163</v>
      </c>
      <c r="Y95" s="8" t="s">
        <v>163</v>
      </c>
      <c r="Z95" s="8" t="s">
        <v>163</v>
      </c>
      <c r="AA95" s="8" t="s">
        <v>163</v>
      </c>
      <c r="AB95" s="8" t="s">
        <v>163</v>
      </c>
      <c r="AC95" s="8" t="s">
        <v>163</v>
      </c>
      <c r="AD95" s="8" t="s">
        <v>163</v>
      </c>
      <c r="AE95" s="8" t="s">
        <v>163</v>
      </c>
      <c r="AF95" s="8" t="s">
        <v>163</v>
      </c>
      <c r="AG95" s="8" t="s">
        <v>163</v>
      </c>
      <c r="AH95" s="8"/>
      <c r="AI95" s="8" t="s">
        <v>163</v>
      </c>
      <c r="AJ95" s="8" t="s">
        <v>163</v>
      </c>
      <c r="AK95" s="8" t="s">
        <v>163</v>
      </c>
      <c r="AL95" s="8" t="s">
        <v>163</v>
      </c>
      <c r="AM95" s="8" t="s">
        <v>136</v>
      </c>
      <c r="AN95" s="8" t="s">
        <v>136</v>
      </c>
      <c r="AO95" s="8" t="s">
        <v>163</v>
      </c>
      <c r="AP95" s="8" t="s">
        <v>163</v>
      </c>
      <c r="AQ95" s="8" t="s">
        <v>163</v>
      </c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 t="s">
        <v>137</v>
      </c>
      <c r="BG95" s="7"/>
      <c r="BH95" s="8" t="s">
        <v>163</v>
      </c>
      <c r="BI95" s="8" t="s">
        <v>163</v>
      </c>
      <c r="BJ95" s="8" t="s">
        <v>338</v>
      </c>
      <c r="BK95" s="7">
        <v>45895.0</v>
      </c>
      <c r="BL95" s="8" t="s">
        <v>163</v>
      </c>
      <c r="BM95" s="8" t="s">
        <v>163</v>
      </c>
      <c r="BN95" s="8" t="s">
        <v>362</v>
      </c>
      <c r="BO95" s="8" t="s">
        <v>363</v>
      </c>
      <c r="BP95" s="8"/>
      <c r="BQ95" s="8"/>
      <c r="BR95" s="8" t="s">
        <v>364</v>
      </c>
      <c r="BS95" s="8" t="s">
        <v>197</v>
      </c>
      <c r="BT95" s="8" t="s">
        <v>136</v>
      </c>
      <c r="BU95" s="8"/>
      <c r="BV95" s="8"/>
      <c r="BW95" s="7">
        <v>45877.513178900466</v>
      </c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 t="s">
        <v>196</v>
      </c>
      <c r="CK95" s="8" t="s">
        <v>197</v>
      </c>
      <c r="CL95" s="8"/>
      <c r="CM95" s="8"/>
      <c r="CN95" s="8"/>
      <c r="CO95" s="8"/>
      <c r="CP95" s="11">
        <v>45877.5143962963</v>
      </c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11"/>
      <c r="DJ95" s="8"/>
      <c r="DK95" s="11"/>
      <c r="DL95" s="8"/>
      <c r="DM95" s="11"/>
      <c r="DN95" s="8"/>
      <c r="DO95" s="11"/>
      <c r="DP95" s="8" t="s">
        <v>163</v>
      </c>
      <c r="DQ95" s="8"/>
      <c r="DR95" s="11"/>
      <c r="DS95" s="8"/>
      <c r="DT95" s="11"/>
      <c r="DU95" s="8"/>
      <c r="DV95" s="11"/>
      <c r="DW95" s="8"/>
      <c r="DX95" s="11"/>
      <c r="DY95" s="8"/>
      <c r="DZ95" s="8"/>
      <c r="EA95" s="8"/>
      <c r="EB95" s="8"/>
      <c r="EC95" s="8"/>
      <c r="ED95" s="10"/>
    </row>
    <row r="96" ht="22.5" customHeight="1">
      <c r="A96" s="12"/>
      <c r="B96" s="6"/>
      <c r="C96" s="8" t="s">
        <v>202</v>
      </c>
      <c r="D96" s="8"/>
      <c r="E96" s="8" t="s">
        <v>136</v>
      </c>
      <c r="F96" s="7">
        <v>45877.0</v>
      </c>
      <c r="G96" s="8" t="s">
        <v>137</v>
      </c>
      <c r="H96" s="8" t="s">
        <v>135</v>
      </c>
      <c r="I96" s="7">
        <v>45897.0</v>
      </c>
      <c r="J96" s="8" t="s">
        <v>138</v>
      </c>
      <c r="K96" s="8" t="s">
        <v>139</v>
      </c>
      <c r="L96" s="8" t="s">
        <v>150</v>
      </c>
      <c r="M96" s="8">
        <v>2.5080801E8</v>
      </c>
      <c r="N96" s="8" t="s">
        <v>151</v>
      </c>
      <c r="O96" s="8" t="s">
        <v>152</v>
      </c>
      <c r="P96" s="8" t="s">
        <v>153</v>
      </c>
      <c r="Q96" s="8" t="s">
        <v>152</v>
      </c>
      <c r="R96" s="8" t="s">
        <v>154</v>
      </c>
      <c r="S96" s="8" t="s">
        <v>365</v>
      </c>
      <c r="T96" s="8" t="s">
        <v>366</v>
      </c>
      <c r="U96" s="8"/>
      <c r="V96" s="8"/>
      <c r="W96" s="8" t="s">
        <v>136</v>
      </c>
      <c r="X96" s="8" t="s">
        <v>163</v>
      </c>
      <c r="Y96" s="8" t="s">
        <v>163</v>
      </c>
      <c r="Z96" s="8" t="s">
        <v>163</v>
      </c>
      <c r="AA96" s="8" t="s">
        <v>163</v>
      </c>
      <c r="AB96" s="8" t="s">
        <v>163</v>
      </c>
      <c r="AC96" s="8" t="s">
        <v>163</v>
      </c>
      <c r="AD96" s="8" t="s">
        <v>163</v>
      </c>
      <c r="AE96" s="8" t="s">
        <v>163</v>
      </c>
      <c r="AF96" s="8" t="s">
        <v>163</v>
      </c>
      <c r="AG96" s="8" t="s">
        <v>163</v>
      </c>
      <c r="AH96" s="8"/>
      <c r="AI96" s="8" t="s">
        <v>163</v>
      </c>
      <c r="AJ96" s="8" t="s">
        <v>163</v>
      </c>
      <c r="AK96" s="8" t="s">
        <v>163</v>
      </c>
      <c r="AL96" s="8" t="s">
        <v>163</v>
      </c>
      <c r="AM96" s="8" t="s">
        <v>136</v>
      </c>
      <c r="AN96" s="8" t="s">
        <v>136</v>
      </c>
      <c r="AO96" s="8" t="s">
        <v>163</v>
      </c>
      <c r="AP96" s="8" t="s">
        <v>163</v>
      </c>
      <c r="AQ96" s="8" t="s">
        <v>163</v>
      </c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 t="s">
        <v>137</v>
      </c>
      <c r="BG96" s="7"/>
      <c r="BH96" s="8" t="s">
        <v>163</v>
      </c>
      <c r="BI96" s="8" t="s">
        <v>163</v>
      </c>
      <c r="BJ96" s="8" t="s">
        <v>219</v>
      </c>
      <c r="BK96" s="7">
        <v>45889.0</v>
      </c>
      <c r="BL96" s="8" t="s">
        <v>163</v>
      </c>
      <c r="BM96" s="8" t="s">
        <v>163</v>
      </c>
      <c r="BN96" s="8" t="s">
        <v>367</v>
      </c>
      <c r="BO96" s="8" t="s">
        <v>368</v>
      </c>
      <c r="BP96" s="8"/>
      <c r="BQ96" s="8"/>
      <c r="BR96" s="8" t="s">
        <v>369</v>
      </c>
      <c r="BS96" s="8" t="s">
        <v>197</v>
      </c>
      <c r="BT96" s="8" t="s">
        <v>136</v>
      </c>
      <c r="BU96" s="8"/>
      <c r="BV96" s="8"/>
      <c r="BW96" s="7">
        <v>45877.52985348379</v>
      </c>
      <c r="BX96" s="8" t="s">
        <v>202</v>
      </c>
      <c r="BY96" s="8"/>
      <c r="BZ96" s="8"/>
      <c r="CA96" s="8"/>
      <c r="CB96" s="8"/>
      <c r="CC96" s="8"/>
      <c r="CD96" s="8"/>
      <c r="CE96" s="8"/>
      <c r="CF96" s="8"/>
      <c r="CG96" s="8"/>
      <c r="CH96" s="8" t="s">
        <v>195</v>
      </c>
      <c r="CI96" s="8"/>
      <c r="CJ96" s="8" t="s">
        <v>196</v>
      </c>
      <c r="CK96" s="8" t="s">
        <v>197</v>
      </c>
      <c r="CL96" s="8"/>
      <c r="CM96" s="8"/>
      <c r="CN96" s="8"/>
      <c r="CO96" s="8"/>
      <c r="CP96" s="11">
        <v>45877.538640729166</v>
      </c>
      <c r="CQ96" s="8"/>
      <c r="CR96" s="8"/>
      <c r="CS96" s="8"/>
      <c r="CT96" s="8"/>
      <c r="CU96" s="8"/>
      <c r="CV96" s="8"/>
      <c r="CW96" s="8">
        <v>500.0</v>
      </c>
      <c r="CX96" s="8" t="s">
        <v>370</v>
      </c>
      <c r="CY96" s="8" t="s">
        <v>371</v>
      </c>
      <c r="CZ96" s="8" t="s">
        <v>261</v>
      </c>
      <c r="DA96" s="8" t="s">
        <v>197</v>
      </c>
      <c r="DB96" s="8" t="s">
        <v>223</v>
      </c>
      <c r="DC96" s="8">
        <v>1234.0</v>
      </c>
      <c r="DD96" s="8" t="s">
        <v>223</v>
      </c>
      <c r="DE96" s="8">
        <v>1234.0</v>
      </c>
      <c r="DF96" s="8">
        <v>1.234567891E10</v>
      </c>
      <c r="DG96" s="8">
        <v>1234.0</v>
      </c>
      <c r="DH96" s="8" t="s">
        <v>195</v>
      </c>
      <c r="DI96" s="11"/>
      <c r="DJ96" s="8"/>
      <c r="DK96" s="11"/>
      <c r="DL96" s="8"/>
      <c r="DM96" s="11"/>
      <c r="DN96" s="8"/>
      <c r="DO96" s="11"/>
      <c r="DP96" s="8" t="s">
        <v>163</v>
      </c>
      <c r="DQ96" s="8"/>
      <c r="DR96" s="11"/>
      <c r="DS96" s="8"/>
      <c r="DT96" s="11"/>
      <c r="DU96" s="8"/>
      <c r="DV96" s="11"/>
      <c r="DW96" s="8"/>
      <c r="DX96" s="11"/>
      <c r="DY96" s="8"/>
      <c r="DZ96" s="8"/>
      <c r="EA96" s="8" t="s">
        <v>203</v>
      </c>
      <c r="EB96" s="8"/>
      <c r="EC96" s="8"/>
      <c r="ED96" s="10">
        <v>45877.54672288195</v>
      </c>
    </row>
    <row r="97" ht="22.5" customHeight="1">
      <c r="A97" s="12"/>
      <c r="B97" s="6"/>
      <c r="C97" s="8" t="s">
        <v>202</v>
      </c>
      <c r="D97" s="8"/>
      <c r="E97" s="8" t="s">
        <v>136</v>
      </c>
      <c r="F97" s="7">
        <v>45877.0</v>
      </c>
      <c r="G97" s="8" t="s">
        <v>137</v>
      </c>
      <c r="H97" s="8" t="s">
        <v>135</v>
      </c>
      <c r="I97" s="7">
        <v>45896.0</v>
      </c>
      <c r="J97" s="8" t="s">
        <v>138</v>
      </c>
      <c r="K97" s="8" t="s">
        <v>139</v>
      </c>
      <c r="L97" s="8" t="s">
        <v>150</v>
      </c>
      <c r="M97" s="8">
        <v>2.50808011E8</v>
      </c>
      <c r="N97" s="8"/>
      <c r="O97" s="8"/>
      <c r="P97" s="8"/>
      <c r="Q97" s="8"/>
      <c r="R97" s="8"/>
      <c r="S97" s="8" t="s">
        <v>372</v>
      </c>
      <c r="T97" s="8" t="s">
        <v>373</v>
      </c>
      <c r="U97" s="8" t="s">
        <v>183</v>
      </c>
      <c r="V97" s="8" t="s">
        <v>135</v>
      </c>
      <c r="W97" s="8" t="s">
        <v>136</v>
      </c>
      <c r="X97" s="8" t="s">
        <v>163</v>
      </c>
      <c r="Y97" s="8" t="s">
        <v>163</v>
      </c>
      <c r="Z97" s="8" t="s">
        <v>163</v>
      </c>
      <c r="AA97" s="8" t="s">
        <v>163</v>
      </c>
      <c r="AB97" s="8" t="s">
        <v>163</v>
      </c>
      <c r="AC97" s="8" t="s">
        <v>163</v>
      </c>
      <c r="AD97" s="8" t="s">
        <v>163</v>
      </c>
      <c r="AE97" s="8" t="s">
        <v>163</v>
      </c>
      <c r="AF97" s="8" t="s">
        <v>163</v>
      </c>
      <c r="AG97" s="8" t="s">
        <v>163</v>
      </c>
      <c r="AH97" s="8"/>
      <c r="AI97" s="8" t="s">
        <v>163</v>
      </c>
      <c r="AJ97" s="8" t="s">
        <v>163</v>
      </c>
      <c r="AK97" s="8" t="s">
        <v>163</v>
      </c>
      <c r="AL97" s="8" t="s">
        <v>163</v>
      </c>
      <c r="AM97" s="8" t="s">
        <v>136</v>
      </c>
      <c r="AN97" s="8" t="s">
        <v>136</v>
      </c>
      <c r="AO97" s="8" t="s">
        <v>163</v>
      </c>
      <c r="AP97" s="8" t="s">
        <v>163</v>
      </c>
      <c r="AQ97" s="8" t="s">
        <v>163</v>
      </c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 t="s">
        <v>137</v>
      </c>
      <c r="BG97" s="7"/>
      <c r="BH97" s="8" t="s">
        <v>163</v>
      </c>
      <c r="BI97" s="8" t="s">
        <v>163</v>
      </c>
      <c r="BJ97" s="8" t="s">
        <v>185</v>
      </c>
      <c r="BK97" s="7">
        <v>45888.0</v>
      </c>
      <c r="BL97" s="8" t="s">
        <v>136</v>
      </c>
      <c r="BM97" s="8" t="s">
        <v>163</v>
      </c>
      <c r="BN97" s="8" t="s">
        <v>357</v>
      </c>
      <c r="BO97" s="8" t="s">
        <v>374</v>
      </c>
      <c r="BP97" s="8"/>
      <c r="BQ97" s="8">
        <v>123.0</v>
      </c>
      <c r="BR97" s="8" t="s">
        <v>375</v>
      </c>
      <c r="BS97" s="8" t="s">
        <v>197</v>
      </c>
      <c r="BT97" s="8" t="s">
        <v>136</v>
      </c>
      <c r="BU97" s="8" t="s">
        <v>261</v>
      </c>
      <c r="BV97" s="8" t="s">
        <v>197</v>
      </c>
      <c r="BW97" s="7">
        <v>45877.55041444444</v>
      </c>
      <c r="BX97" s="8" t="s">
        <v>202</v>
      </c>
      <c r="BY97" s="8"/>
      <c r="BZ97" s="8"/>
      <c r="CA97" s="8"/>
      <c r="CB97" s="8"/>
      <c r="CC97" s="8"/>
      <c r="CD97" s="8"/>
      <c r="CE97" s="8"/>
      <c r="CF97" s="8"/>
      <c r="CG97" s="8"/>
      <c r="CH97" s="8" t="s">
        <v>195</v>
      </c>
      <c r="CI97" s="8"/>
      <c r="CJ97" s="8" t="s">
        <v>196</v>
      </c>
      <c r="CK97" s="8" t="s">
        <v>197</v>
      </c>
      <c r="CL97" s="8"/>
      <c r="CM97" s="8"/>
      <c r="CN97" s="8"/>
      <c r="CO97" s="8"/>
      <c r="CP97" s="11">
        <v>45877.55845434028</v>
      </c>
      <c r="CQ97" s="8"/>
      <c r="CR97" s="8"/>
      <c r="CS97" s="8"/>
      <c r="CT97" s="8"/>
      <c r="CU97" s="8"/>
      <c r="CV97" s="8"/>
      <c r="CW97" s="8">
        <v>500.0</v>
      </c>
      <c r="CX97" s="8" t="s">
        <v>370</v>
      </c>
      <c r="CY97" s="8" t="s">
        <v>376</v>
      </c>
      <c r="CZ97" s="8" t="s">
        <v>261</v>
      </c>
      <c r="DA97" s="8" t="s">
        <v>197</v>
      </c>
      <c r="DB97" s="8" t="s">
        <v>223</v>
      </c>
      <c r="DC97" s="8">
        <v>1234.0</v>
      </c>
      <c r="DD97" s="8" t="s">
        <v>223</v>
      </c>
      <c r="DE97" s="8">
        <v>1234.0</v>
      </c>
      <c r="DF97" s="8">
        <v>1.234567891E10</v>
      </c>
      <c r="DG97" s="8">
        <v>1234.0</v>
      </c>
      <c r="DH97" s="8" t="s">
        <v>195</v>
      </c>
      <c r="DI97" s="11"/>
      <c r="DJ97" s="8"/>
      <c r="DK97" s="11"/>
      <c r="DL97" s="8"/>
      <c r="DM97" s="11"/>
      <c r="DN97" s="8"/>
      <c r="DO97" s="11"/>
      <c r="DP97" s="8" t="s">
        <v>163</v>
      </c>
      <c r="DQ97" s="8"/>
      <c r="DR97" s="11"/>
      <c r="DS97" s="8"/>
      <c r="DT97" s="11"/>
      <c r="DU97" s="8" t="s">
        <v>195</v>
      </c>
      <c r="DV97" s="11">
        <v>45877.55139400463</v>
      </c>
      <c r="DW97" s="8"/>
      <c r="DX97" s="11"/>
      <c r="DY97" s="8"/>
      <c r="DZ97" s="8"/>
      <c r="EA97" s="8" t="s">
        <v>203</v>
      </c>
      <c r="EB97" s="8"/>
      <c r="EC97" s="8"/>
      <c r="ED97" s="10">
        <v>45877.558883101854</v>
      </c>
    </row>
    <row r="98" ht="22.5" customHeight="1">
      <c r="A98" s="12"/>
      <c r="B98" s="6"/>
      <c r="C98" s="8" t="s">
        <v>202</v>
      </c>
      <c r="D98" s="8"/>
      <c r="E98" s="8" t="s">
        <v>136</v>
      </c>
      <c r="F98" s="7">
        <v>45880.0</v>
      </c>
      <c r="G98" s="8" t="s">
        <v>137</v>
      </c>
      <c r="H98" s="8" t="s">
        <v>135</v>
      </c>
      <c r="I98" s="7">
        <v>45888.0</v>
      </c>
      <c r="J98" s="8" t="s">
        <v>138</v>
      </c>
      <c r="K98" s="8" t="s">
        <v>139</v>
      </c>
      <c r="L98" s="8" t="s">
        <v>140</v>
      </c>
      <c r="M98" s="8">
        <v>2.50811001E8</v>
      </c>
      <c r="N98" s="8" t="s">
        <v>151</v>
      </c>
      <c r="O98" s="8" t="s">
        <v>152</v>
      </c>
      <c r="P98" s="8" t="s">
        <v>153</v>
      </c>
      <c r="Q98" s="8" t="s">
        <v>152</v>
      </c>
      <c r="R98" s="8" t="s">
        <v>154</v>
      </c>
      <c r="S98" s="8" t="s">
        <v>377</v>
      </c>
      <c r="T98" s="8" t="s">
        <v>378</v>
      </c>
      <c r="U98" s="8" t="s">
        <v>183</v>
      </c>
      <c r="V98" s="8" t="s">
        <v>135</v>
      </c>
      <c r="W98" s="8" t="s">
        <v>163</v>
      </c>
      <c r="X98" s="8" t="s">
        <v>163</v>
      </c>
      <c r="Y98" s="8" t="s">
        <v>163</v>
      </c>
      <c r="Z98" s="8" t="s">
        <v>163</v>
      </c>
      <c r="AA98" s="8" t="s">
        <v>163</v>
      </c>
      <c r="AB98" s="8" t="s">
        <v>163</v>
      </c>
      <c r="AC98" s="8" t="s">
        <v>163</v>
      </c>
      <c r="AD98" s="8" t="s">
        <v>163</v>
      </c>
      <c r="AE98" s="8" t="s">
        <v>163</v>
      </c>
      <c r="AF98" s="8" t="s">
        <v>163</v>
      </c>
      <c r="AG98" s="8" t="s">
        <v>163</v>
      </c>
      <c r="AH98" s="8"/>
      <c r="AI98" s="8" t="s">
        <v>163</v>
      </c>
      <c r="AJ98" s="8" t="s">
        <v>163</v>
      </c>
      <c r="AK98" s="8" t="s">
        <v>163</v>
      </c>
      <c r="AL98" s="8" t="s">
        <v>136</v>
      </c>
      <c r="AM98" s="8" t="s">
        <v>136</v>
      </c>
      <c r="AN98" s="8" t="s">
        <v>163</v>
      </c>
      <c r="AO98" s="8" t="s">
        <v>163</v>
      </c>
      <c r="AP98" s="8" t="s">
        <v>163</v>
      </c>
      <c r="AQ98" s="8" t="s">
        <v>163</v>
      </c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 t="s">
        <v>137</v>
      </c>
      <c r="BG98" s="7"/>
      <c r="BH98" s="8" t="s">
        <v>163</v>
      </c>
      <c r="BI98" s="8" t="s">
        <v>136</v>
      </c>
      <c r="BJ98" s="8"/>
      <c r="BK98" s="7">
        <v>45887.0</v>
      </c>
      <c r="BL98" s="8" t="s">
        <v>163</v>
      </c>
      <c r="BM98" s="8" t="s">
        <v>163</v>
      </c>
      <c r="BN98" s="8" t="s">
        <v>379</v>
      </c>
      <c r="BO98" s="8" t="s">
        <v>380</v>
      </c>
      <c r="BP98" s="8"/>
      <c r="BQ98" s="8"/>
      <c r="BR98" s="8" t="s">
        <v>381</v>
      </c>
      <c r="BS98" s="8" t="s">
        <v>197</v>
      </c>
      <c r="BT98" s="8" t="s">
        <v>136</v>
      </c>
      <c r="BU98" s="8"/>
      <c r="BV98" s="8"/>
      <c r="BW98" s="7">
        <v>45880.66227163194</v>
      </c>
      <c r="BX98" s="8" t="s">
        <v>202</v>
      </c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11">
        <v>45880.66285303241</v>
      </c>
      <c r="CQ98" s="8" t="s">
        <v>195</v>
      </c>
      <c r="CR98" s="8" t="s">
        <v>271</v>
      </c>
      <c r="CS98" s="8" t="s">
        <v>272</v>
      </c>
      <c r="CT98" s="8" t="s">
        <v>273</v>
      </c>
      <c r="CU98" s="8" t="s">
        <v>274</v>
      </c>
      <c r="CV98" s="8"/>
      <c r="CW98" s="8">
        <v>500.0</v>
      </c>
      <c r="CX98" s="8" t="s">
        <v>370</v>
      </c>
      <c r="CY98" s="8" t="s">
        <v>371</v>
      </c>
      <c r="CZ98" s="8" t="s">
        <v>261</v>
      </c>
      <c r="DA98" s="8" t="s">
        <v>197</v>
      </c>
      <c r="DB98" s="8" t="s">
        <v>223</v>
      </c>
      <c r="DC98" s="8">
        <v>1234.0</v>
      </c>
      <c r="DD98" s="8" t="s">
        <v>223</v>
      </c>
      <c r="DE98" s="8">
        <v>1234.0</v>
      </c>
      <c r="DF98" s="8"/>
      <c r="DG98" s="8"/>
      <c r="DH98" s="8" t="s">
        <v>195</v>
      </c>
      <c r="DI98" s="11"/>
      <c r="DJ98" s="8"/>
      <c r="DK98" s="11"/>
      <c r="DL98" s="8"/>
      <c r="DM98" s="11"/>
      <c r="DN98" s="8"/>
      <c r="DO98" s="11"/>
      <c r="DP98" s="8" t="s">
        <v>163</v>
      </c>
      <c r="DQ98" s="8"/>
      <c r="DR98" s="11"/>
      <c r="DS98" s="8"/>
      <c r="DT98" s="11"/>
      <c r="DU98" s="8"/>
      <c r="DV98" s="11"/>
      <c r="DW98" s="8"/>
      <c r="DX98" s="11"/>
      <c r="DY98" s="8"/>
      <c r="DZ98" s="8"/>
      <c r="EA98" s="8" t="s">
        <v>303</v>
      </c>
      <c r="EB98" s="8"/>
      <c r="EC98" s="8"/>
      <c r="ED98" s="10">
        <v>45880.66310542824</v>
      </c>
    </row>
    <row r="99" ht="22.5" customHeight="1">
      <c r="A99" s="12"/>
      <c r="B99" s="6"/>
      <c r="C99" s="8" t="s">
        <v>229</v>
      </c>
      <c r="D99" s="8"/>
      <c r="E99" s="8" t="s">
        <v>136</v>
      </c>
      <c r="F99" s="7"/>
      <c r="G99" s="8"/>
      <c r="H99" s="8"/>
      <c r="I99" s="7"/>
      <c r="J99" s="8"/>
      <c r="K99" s="8"/>
      <c r="L99" s="8" t="s">
        <v>150</v>
      </c>
      <c r="M99" s="8">
        <v>2.50811002E8</v>
      </c>
      <c r="N99" s="8" t="s">
        <v>382</v>
      </c>
      <c r="O99" s="8" t="s">
        <v>383</v>
      </c>
      <c r="P99" s="8" t="s">
        <v>384</v>
      </c>
      <c r="Q99" s="8"/>
      <c r="R99" s="8" t="s">
        <v>154</v>
      </c>
      <c r="S99" s="8" t="s">
        <v>355</v>
      </c>
      <c r="T99" s="8" t="s">
        <v>356</v>
      </c>
      <c r="U99" s="8"/>
      <c r="V99" s="8"/>
      <c r="W99" s="8" t="s">
        <v>163</v>
      </c>
      <c r="X99" s="8" t="s">
        <v>163</v>
      </c>
      <c r="Y99" s="8" t="s">
        <v>163</v>
      </c>
      <c r="Z99" s="8" t="s">
        <v>136</v>
      </c>
      <c r="AA99" s="8" t="s">
        <v>163</v>
      </c>
      <c r="AB99" s="8" t="s">
        <v>163</v>
      </c>
      <c r="AC99" s="8" t="s">
        <v>163</v>
      </c>
      <c r="AD99" s="8" t="s">
        <v>163</v>
      </c>
      <c r="AE99" s="8" t="s">
        <v>163</v>
      </c>
      <c r="AF99" s="8" t="s">
        <v>163</v>
      </c>
      <c r="AG99" s="8" t="s">
        <v>163</v>
      </c>
      <c r="AH99" s="8"/>
      <c r="AI99" s="8" t="s">
        <v>163</v>
      </c>
      <c r="AJ99" s="8" t="s">
        <v>163</v>
      </c>
      <c r="AK99" s="8" t="s">
        <v>163</v>
      </c>
      <c r="AL99" s="8" t="s">
        <v>163</v>
      </c>
      <c r="AM99" s="8" t="s">
        <v>136</v>
      </c>
      <c r="AN99" s="8" t="s">
        <v>136</v>
      </c>
      <c r="AO99" s="8" t="s">
        <v>163</v>
      </c>
      <c r="AP99" s="8" t="s">
        <v>163</v>
      </c>
      <c r="AQ99" s="8" t="s">
        <v>163</v>
      </c>
      <c r="AR99" s="8"/>
      <c r="AS99" s="8"/>
      <c r="AT99" s="8"/>
      <c r="AU99" s="8"/>
      <c r="AV99" s="8"/>
      <c r="AW99" s="8"/>
      <c r="AX99" s="8" t="s">
        <v>355</v>
      </c>
      <c r="AY99" s="8"/>
      <c r="AZ99" s="8"/>
      <c r="BA99" s="8"/>
      <c r="BB99" s="8"/>
      <c r="BC99" s="8"/>
      <c r="BD99" s="8"/>
      <c r="BE99" s="8"/>
      <c r="BF99" s="8" t="s">
        <v>137</v>
      </c>
      <c r="BG99" s="7"/>
      <c r="BH99" s="8" t="s">
        <v>136</v>
      </c>
      <c r="BI99" s="8" t="s">
        <v>163</v>
      </c>
      <c r="BJ99" s="8" t="s">
        <v>385</v>
      </c>
      <c r="BK99" s="7">
        <v>45880.0</v>
      </c>
      <c r="BL99" s="8" t="s">
        <v>163</v>
      </c>
      <c r="BM99" s="8" t="s">
        <v>163</v>
      </c>
      <c r="BN99" s="8" t="s">
        <v>357</v>
      </c>
      <c r="BO99" s="8" t="s">
        <v>386</v>
      </c>
      <c r="BP99" s="8"/>
      <c r="BQ99" s="8"/>
      <c r="BR99" s="8"/>
      <c r="BS99" s="8"/>
      <c r="BT99" s="8"/>
      <c r="BU99" s="8"/>
      <c r="BV99" s="8"/>
      <c r="BW99" s="7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11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11"/>
      <c r="DJ99" s="8"/>
      <c r="DK99" s="11"/>
      <c r="DL99" s="8"/>
      <c r="DM99" s="11"/>
      <c r="DN99" s="8"/>
      <c r="DO99" s="11"/>
      <c r="DP99" s="8" t="s">
        <v>163</v>
      </c>
      <c r="DQ99" s="8"/>
      <c r="DR99" s="11"/>
      <c r="DS99" s="8"/>
      <c r="DT99" s="11"/>
      <c r="DU99" s="8"/>
      <c r="DV99" s="11"/>
      <c r="DW99" s="8"/>
      <c r="DX99" s="11"/>
      <c r="DY99" s="8"/>
      <c r="DZ99" s="8"/>
      <c r="EA99" s="8"/>
      <c r="EB99" s="8"/>
      <c r="EC99" s="8"/>
      <c r="ED99" s="10"/>
    </row>
    <row r="100" ht="22.5" customHeight="1">
      <c r="A100" s="12"/>
      <c r="B100" s="6"/>
      <c r="C100" s="8" t="s">
        <v>202</v>
      </c>
      <c r="D100" s="8"/>
      <c r="E100" s="8" t="s">
        <v>136</v>
      </c>
      <c r="F100" s="7"/>
      <c r="G100" s="8" t="s">
        <v>137</v>
      </c>
      <c r="H100" s="8" t="s">
        <v>135</v>
      </c>
      <c r="I100" s="7"/>
      <c r="J100" s="8"/>
      <c r="K100" s="8"/>
      <c r="L100" s="8" t="s">
        <v>150</v>
      </c>
      <c r="M100" s="8">
        <v>2.50811003E8</v>
      </c>
      <c r="N100" s="8" t="s">
        <v>382</v>
      </c>
      <c r="O100" s="8" t="s">
        <v>383</v>
      </c>
      <c r="P100" s="8" t="s">
        <v>384</v>
      </c>
      <c r="Q100" s="8"/>
      <c r="R100" s="8" t="s">
        <v>154</v>
      </c>
      <c r="S100" s="8" t="s">
        <v>355</v>
      </c>
      <c r="T100" s="8" t="s">
        <v>356</v>
      </c>
      <c r="U100" s="8"/>
      <c r="V100" s="8"/>
      <c r="W100" s="8" t="s">
        <v>163</v>
      </c>
      <c r="X100" s="8" t="s">
        <v>163</v>
      </c>
      <c r="Y100" s="8" t="s">
        <v>163</v>
      </c>
      <c r="Z100" s="8" t="s">
        <v>136</v>
      </c>
      <c r="AA100" s="8" t="s">
        <v>163</v>
      </c>
      <c r="AB100" s="8" t="s">
        <v>163</v>
      </c>
      <c r="AC100" s="8" t="s">
        <v>163</v>
      </c>
      <c r="AD100" s="8" t="s">
        <v>163</v>
      </c>
      <c r="AE100" s="8" t="s">
        <v>163</v>
      </c>
      <c r="AF100" s="8" t="s">
        <v>163</v>
      </c>
      <c r="AG100" s="8" t="s">
        <v>163</v>
      </c>
      <c r="AH100" s="8"/>
      <c r="AI100" s="8" t="s">
        <v>163</v>
      </c>
      <c r="AJ100" s="8" t="s">
        <v>163</v>
      </c>
      <c r="AK100" s="8" t="s">
        <v>163</v>
      </c>
      <c r="AL100" s="8" t="s">
        <v>163</v>
      </c>
      <c r="AM100" s="8" t="s">
        <v>136</v>
      </c>
      <c r="AN100" s="8" t="s">
        <v>136</v>
      </c>
      <c r="AO100" s="8" t="s">
        <v>163</v>
      </c>
      <c r="AP100" s="8" t="s">
        <v>163</v>
      </c>
      <c r="AQ100" s="8" t="s">
        <v>163</v>
      </c>
      <c r="AR100" s="8"/>
      <c r="AS100" s="8"/>
      <c r="AT100" s="8"/>
      <c r="AU100" s="8"/>
      <c r="AV100" s="8"/>
      <c r="AW100" s="8"/>
      <c r="AX100" s="8" t="s">
        <v>355</v>
      </c>
      <c r="AY100" s="8"/>
      <c r="AZ100" s="8"/>
      <c r="BA100" s="8"/>
      <c r="BB100" s="8"/>
      <c r="BC100" s="8"/>
      <c r="BD100" s="8"/>
      <c r="BE100" s="8"/>
      <c r="BF100" s="8" t="s">
        <v>137</v>
      </c>
      <c r="BG100" s="7"/>
      <c r="BH100" s="8" t="s">
        <v>136</v>
      </c>
      <c r="BI100" s="8" t="s">
        <v>163</v>
      </c>
      <c r="BJ100" s="8" t="s">
        <v>385</v>
      </c>
      <c r="BK100" s="7">
        <v>45880.0</v>
      </c>
      <c r="BL100" s="8" t="s">
        <v>163</v>
      </c>
      <c r="BM100" s="8" t="s">
        <v>163</v>
      </c>
      <c r="BN100" s="8" t="s">
        <v>357</v>
      </c>
      <c r="BO100" s="8" t="s">
        <v>387</v>
      </c>
      <c r="BP100" s="8"/>
      <c r="BQ100" s="8"/>
      <c r="BR100" s="8" t="s">
        <v>388</v>
      </c>
      <c r="BS100" s="8" t="s">
        <v>197</v>
      </c>
      <c r="BT100" s="8" t="s">
        <v>136</v>
      </c>
      <c r="BU100" s="8"/>
      <c r="BV100" s="8"/>
      <c r="BW100" s="7">
        <v>45880.69184714121</v>
      </c>
      <c r="BX100" s="8" t="s">
        <v>202</v>
      </c>
      <c r="BY100" s="8"/>
      <c r="BZ100" s="8" t="s">
        <v>195</v>
      </c>
      <c r="CA100" s="8" t="s">
        <v>195</v>
      </c>
      <c r="CB100" s="8"/>
      <c r="CC100" s="8"/>
      <c r="CD100" s="8"/>
      <c r="CE100" s="8"/>
      <c r="CF100" s="8"/>
      <c r="CG100" s="8"/>
      <c r="CH100" s="8"/>
      <c r="CI100" s="8"/>
      <c r="CJ100" s="8" t="s">
        <v>196</v>
      </c>
      <c r="CK100" s="8" t="s">
        <v>197</v>
      </c>
      <c r="CL100" s="8"/>
      <c r="CM100" s="8"/>
      <c r="CN100" s="8"/>
      <c r="CO100" s="8"/>
      <c r="CP100" s="11">
        <v>45880.692413530094</v>
      </c>
      <c r="CQ100" s="8"/>
      <c r="CR100" s="8"/>
      <c r="CS100" s="8"/>
      <c r="CT100" s="8"/>
      <c r="CU100" s="8"/>
      <c r="CV100" s="8"/>
      <c r="CW100" s="8">
        <v>500.0</v>
      </c>
      <c r="CX100" s="8" t="s">
        <v>370</v>
      </c>
      <c r="CY100" s="8" t="s">
        <v>371</v>
      </c>
      <c r="CZ100" s="8" t="s">
        <v>261</v>
      </c>
      <c r="DA100" s="8" t="s">
        <v>197</v>
      </c>
      <c r="DB100" s="8" t="s">
        <v>223</v>
      </c>
      <c r="DC100" s="8">
        <v>1234.0</v>
      </c>
      <c r="DD100" s="8" t="s">
        <v>223</v>
      </c>
      <c r="DE100" s="8">
        <v>1234.0</v>
      </c>
      <c r="DF100" s="8">
        <v>1.234567891E10</v>
      </c>
      <c r="DG100" s="8">
        <v>1234.0</v>
      </c>
      <c r="DH100" s="8" t="s">
        <v>195</v>
      </c>
      <c r="DI100" s="11"/>
      <c r="DJ100" s="8"/>
      <c r="DK100" s="11"/>
      <c r="DL100" s="8"/>
      <c r="DM100" s="11"/>
      <c r="DN100" s="8"/>
      <c r="DO100" s="11"/>
      <c r="DP100" s="8" t="s">
        <v>163</v>
      </c>
      <c r="DQ100" s="8"/>
      <c r="DR100" s="11"/>
      <c r="DS100" s="8"/>
      <c r="DT100" s="11"/>
      <c r="DU100" s="8"/>
      <c r="DV100" s="11"/>
      <c r="DW100" s="8"/>
      <c r="DX100" s="11"/>
      <c r="DY100" s="8"/>
      <c r="DZ100" s="8"/>
      <c r="EA100" s="8" t="s">
        <v>203</v>
      </c>
      <c r="EB100" s="8"/>
      <c r="EC100" s="8"/>
      <c r="ED100" s="10">
        <v>45880.694000358795</v>
      </c>
    </row>
    <row r="101" ht="22.5" customHeight="1">
      <c r="A101" s="12"/>
      <c r="B101" s="6"/>
      <c r="C101" s="8" t="s">
        <v>202</v>
      </c>
      <c r="D101" s="8"/>
      <c r="E101" s="8" t="s">
        <v>136</v>
      </c>
      <c r="F101" s="7">
        <v>45880.0</v>
      </c>
      <c r="G101" s="8" t="s">
        <v>137</v>
      </c>
      <c r="H101" s="8" t="s">
        <v>135</v>
      </c>
      <c r="I101" s="7">
        <v>45897.0</v>
      </c>
      <c r="J101" s="8" t="s">
        <v>138</v>
      </c>
      <c r="K101" s="8" t="s">
        <v>139</v>
      </c>
      <c r="L101" s="8" t="s">
        <v>150</v>
      </c>
      <c r="M101" s="8">
        <v>2.50811004E8</v>
      </c>
      <c r="N101" s="8" t="s">
        <v>151</v>
      </c>
      <c r="O101" s="8"/>
      <c r="P101" s="8" t="s">
        <v>384</v>
      </c>
      <c r="Q101" s="8"/>
      <c r="R101" s="8" t="s">
        <v>389</v>
      </c>
      <c r="S101" s="8" t="s">
        <v>390</v>
      </c>
      <c r="T101" s="8" t="s">
        <v>391</v>
      </c>
      <c r="U101" s="8"/>
      <c r="V101" s="8"/>
      <c r="W101" s="8" t="s">
        <v>163</v>
      </c>
      <c r="X101" s="8" t="s">
        <v>163</v>
      </c>
      <c r="Y101" s="8" t="s">
        <v>163</v>
      </c>
      <c r="Z101" s="8" t="s">
        <v>163</v>
      </c>
      <c r="AA101" s="8" t="s">
        <v>163</v>
      </c>
      <c r="AB101" s="8" t="s">
        <v>163</v>
      </c>
      <c r="AC101" s="8" t="s">
        <v>163</v>
      </c>
      <c r="AD101" s="8" t="s">
        <v>163</v>
      </c>
      <c r="AE101" s="8" t="s">
        <v>163</v>
      </c>
      <c r="AF101" s="8" t="s">
        <v>163</v>
      </c>
      <c r="AG101" s="8" t="s">
        <v>163</v>
      </c>
      <c r="AH101" s="8"/>
      <c r="AI101" s="8" t="s">
        <v>163</v>
      </c>
      <c r="AJ101" s="8" t="s">
        <v>163</v>
      </c>
      <c r="AK101" s="8" t="s">
        <v>163</v>
      </c>
      <c r="AL101" s="8" t="s">
        <v>163</v>
      </c>
      <c r="AM101" s="8" t="s">
        <v>136</v>
      </c>
      <c r="AN101" s="8" t="s">
        <v>136</v>
      </c>
      <c r="AO101" s="8" t="s">
        <v>163</v>
      </c>
      <c r="AP101" s="8" t="s">
        <v>163</v>
      </c>
      <c r="AQ101" s="8" t="s">
        <v>163</v>
      </c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 t="s">
        <v>137</v>
      </c>
      <c r="BG101" s="7"/>
      <c r="BH101" s="8" t="s">
        <v>163</v>
      </c>
      <c r="BI101" s="8" t="s">
        <v>163</v>
      </c>
      <c r="BJ101" s="8" t="s">
        <v>392</v>
      </c>
      <c r="BK101" s="7">
        <v>45895.0</v>
      </c>
      <c r="BL101" s="8" t="s">
        <v>163</v>
      </c>
      <c r="BM101" s="8" t="s">
        <v>163</v>
      </c>
      <c r="BN101" s="8" t="s">
        <v>357</v>
      </c>
      <c r="BO101" s="8" t="s">
        <v>393</v>
      </c>
      <c r="BP101" s="8"/>
      <c r="BQ101" s="8"/>
      <c r="BR101" s="8" t="s">
        <v>394</v>
      </c>
      <c r="BS101" s="8" t="s">
        <v>197</v>
      </c>
      <c r="BT101" s="8" t="s">
        <v>136</v>
      </c>
      <c r="BU101" s="8"/>
      <c r="BV101" s="8"/>
      <c r="BW101" s="7">
        <v>45880.70466894676</v>
      </c>
      <c r="BX101" s="8" t="s">
        <v>202</v>
      </c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 t="s">
        <v>196</v>
      </c>
      <c r="CK101" s="8" t="s">
        <v>197</v>
      </c>
      <c r="CL101" s="8"/>
      <c r="CM101" s="8"/>
      <c r="CN101" s="8"/>
      <c r="CO101" s="8"/>
      <c r="CP101" s="11">
        <v>45880.70676043982</v>
      </c>
      <c r="CQ101" s="8"/>
      <c r="CR101" s="8"/>
      <c r="CS101" s="8"/>
      <c r="CT101" s="8"/>
      <c r="CU101" s="8"/>
      <c r="CV101" s="8"/>
      <c r="CW101" s="8">
        <v>500.0</v>
      </c>
      <c r="CX101" s="8" t="s">
        <v>370</v>
      </c>
      <c r="CY101" s="8"/>
      <c r="CZ101" s="8"/>
      <c r="DA101" s="8"/>
      <c r="DB101" s="8"/>
      <c r="DC101" s="8"/>
      <c r="DD101" s="8"/>
      <c r="DE101" s="8"/>
      <c r="DF101" s="8"/>
      <c r="DG101" s="8"/>
      <c r="DH101" s="8" t="s">
        <v>195</v>
      </c>
      <c r="DI101" s="11">
        <v>45880.70668800926</v>
      </c>
      <c r="DJ101" s="8"/>
      <c r="DK101" s="11"/>
      <c r="DL101" s="8"/>
      <c r="DM101" s="11"/>
      <c r="DN101" s="8"/>
      <c r="DO101" s="11"/>
      <c r="DP101" s="8" t="s">
        <v>163</v>
      </c>
      <c r="DQ101" s="8"/>
      <c r="DR101" s="11"/>
      <c r="DS101" s="8"/>
      <c r="DT101" s="11"/>
      <c r="DU101" s="8"/>
      <c r="DV101" s="11"/>
      <c r="DW101" s="8"/>
      <c r="DX101" s="11"/>
      <c r="DY101" s="8"/>
      <c r="DZ101" s="8"/>
      <c r="EA101" s="8" t="s">
        <v>203</v>
      </c>
      <c r="EB101" s="8"/>
      <c r="EC101" s="8"/>
      <c r="ED101" s="10">
        <v>45881.41370305556</v>
      </c>
    </row>
    <row r="102" ht="22.5" customHeight="1">
      <c r="A102" s="12"/>
      <c r="B102" s="6"/>
      <c r="C102" s="8" t="s">
        <v>229</v>
      </c>
      <c r="D102" s="8"/>
      <c r="E102" s="8" t="s">
        <v>136</v>
      </c>
      <c r="F102" s="7">
        <v>45881.0</v>
      </c>
      <c r="G102" s="8" t="s">
        <v>137</v>
      </c>
      <c r="H102" s="8" t="s">
        <v>135</v>
      </c>
      <c r="I102" s="7">
        <v>45896.0</v>
      </c>
      <c r="J102" s="8" t="s">
        <v>138</v>
      </c>
      <c r="K102" s="8" t="s">
        <v>139</v>
      </c>
      <c r="L102" s="8" t="s">
        <v>150</v>
      </c>
      <c r="M102" s="8">
        <v>2.50812001E8</v>
      </c>
      <c r="N102" s="8" t="s">
        <v>395</v>
      </c>
      <c r="O102" s="8"/>
      <c r="P102" s="8" t="s">
        <v>396</v>
      </c>
      <c r="Q102" s="8" t="s">
        <v>397</v>
      </c>
      <c r="R102" s="8" t="s">
        <v>398</v>
      </c>
      <c r="S102" s="8" t="s">
        <v>399</v>
      </c>
      <c r="T102" s="8" t="s">
        <v>400</v>
      </c>
      <c r="U102" s="8" t="s">
        <v>183</v>
      </c>
      <c r="V102" s="8" t="s">
        <v>135</v>
      </c>
      <c r="W102" s="8" t="s">
        <v>136</v>
      </c>
      <c r="X102" s="8" t="s">
        <v>163</v>
      </c>
      <c r="Y102" s="8" t="s">
        <v>163</v>
      </c>
      <c r="Z102" s="8" t="s">
        <v>163</v>
      </c>
      <c r="AA102" s="8" t="s">
        <v>163</v>
      </c>
      <c r="AB102" s="8" t="s">
        <v>163</v>
      </c>
      <c r="AC102" s="8" t="s">
        <v>163</v>
      </c>
      <c r="AD102" s="8" t="s">
        <v>163</v>
      </c>
      <c r="AE102" s="8" t="s">
        <v>163</v>
      </c>
      <c r="AF102" s="8" t="s">
        <v>163</v>
      </c>
      <c r="AG102" s="8" t="s">
        <v>163</v>
      </c>
      <c r="AH102" s="8"/>
      <c r="AI102" s="8" t="s">
        <v>163</v>
      </c>
      <c r="AJ102" s="8" t="s">
        <v>163</v>
      </c>
      <c r="AK102" s="8" t="s">
        <v>163</v>
      </c>
      <c r="AL102" s="8" t="s">
        <v>163</v>
      </c>
      <c r="AM102" s="8" t="s">
        <v>136</v>
      </c>
      <c r="AN102" s="8" t="s">
        <v>136</v>
      </c>
      <c r="AO102" s="8" t="s">
        <v>163</v>
      </c>
      <c r="AP102" s="8" t="s">
        <v>163</v>
      </c>
      <c r="AQ102" s="8" t="s">
        <v>163</v>
      </c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 t="s">
        <v>137</v>
      </c>
      <c r="BG102" s="7"/>
      <c r="BH102" s="8" t="s">
        <v>163</v>
      </c>
      <c r="BI102" s="8" t="s">
        <v>163</v>
      </c>
      <c r="BJ102" s="8" t="s">
        <v>401</v>
      </c>
      <c r="BK102" s="7">
        <v>45895.0</v>
      </c>
      <c r="BL102" s="8" t="s">
        <v>163</v>
      </c>
      <c r="BM102" s="8" t="s">
        <v>163</v>
      </c>
      <c r="BN102" s="8" t="s">
        <v>357</v>
      </c>
      <c r="BO102" s="8" t="s">
        <v>402</v>
      </c>
      <c r="BP102" s="8"/>
      <c r="BQ102" s="8"/>
      <c r="BR102" s="8"/>
      <c r="BS102" s="8"/>
      <c r="BT102" s="8"/>
      <c r="BU102" s="8"/>
      <c r="BV102" s="8"/>
      <c r="BW102" s="7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11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11"/>
      <c r="DJ102" s="8"/>
      <c r="DK102" s="11"/>
      <c r="DL102" s="8"/>
      <c r="DM102" s="11"/>
      <c r="DN102" s="8"/>
      <c r="DO102" s="11"/>
      <c r="DP102" s="8" t="s">
        <v>163</v>
      </c>
      <c r="DQ102" s="8"/>
      <c r="DR102" s="11"/>
      <c r="DS102" s="8"/>
      <c r="DT102" s="11"/>
      <c r="DU102" s="8"/>
      <c r="DV102" s="11"/>
      <c r="DW102" s="8"/>
      <c r="DX102" s="11"/>
      <c r="DY102" s="8"/>
      <c r="DZ102" s="8"/>
      <c r="EA102" s="8"/>
      <c r="EB102" s="8"/>
      <c r="EC102" s="8"/>
      <c r="ED102" s="10"/>
    </row>
    <row r="103" ht="22.5" customHeight="1">
      <c r="A103" s="12"/>
      <c r="B103" s="6"/>
      <c r="C103" s="8" t="s">
        <v>229</v>
      </c>
      <c r="D103" s="8"/>
      <c r="E103" s="8" t="s">
        <v>136</v>
      </c>
      <c r="F103" s="7">
        <v>45881.0</v>
      </c>
      <c r="G103" s="8" t="s">
        <v>137</v>
      </c>
      <c r="H103" s="8" t="s">
        <v>135</v>
      </c>
      <c r="I103" s="7">
        <v>45890.0</v>
      </c>
      <c r="J103" s="8" t="s">
        <v>138</v>
      </c>
      <c r="K103" s="8" t="s">
        <v>139</v>
      </c>
      <c r="L103" s="8" t="s">
        <v>150</v>
      </c>
      <c r="M103" s="8">
        <v>2.50812002E8</v>
      </c>
      <c r="N103" s="8" t="s">
        <v>151</v>
      </c>
      <c r="O103" s="8"/>
      <c r="P103" s="8" t="s">
        <v>403</v>
      </c>
      <c r="Q103" s="8"/>
      <c r="R103" s="8" t="s">
        <v>154</v>
      </c>
      <c r="S103" s="8" t="s">
        <v>404</v>
      </c>
      <c r="T103" s="8" t="s">
        <v>405</v>
      </c>
      <c r="U103" s="8" t="s">
        <v>183</v>
      </c>
      <c r="V103" s="8" t="s">
        <v>135</v>
      </c>
      <c r="W103" s="8" t="s">
        <v>163</v>
      </c>
      <c r="X103" s="8" t="s">
        <v>163</v>
      </c>
      <c r="Y103" s="8" t="s">
        <v>163</v>
      </c>
      <c r="Z103" s="8" t="s">
        <v>163</v>
      </c>
      <c r="AA103" s="8" t="s">
        <v>163</v>
      </c>
      <c r="AB103" s="8" t="s">
        <v>163</v>
      </c>
      <c r="AC103" s="8" t="s">
        <v>163</v>
      </c>
      <c r="AD103" s="8" t="s">
        <v>163</v>
      </c>
      <c r="AE103" s="8" t="s">
        <v>163</v>
      </c>
      <c r="AF103" s="8" t="s">
        <v>163</v>
      </c>
      <c r="AG103" s="8" t="s">
        <v>163</v>
      </c>
      <c r="AH103" s="8"/>
      <c r="AI103" s="8" t="s">
        <v>163</v>
      </c>
      <c r="AJ103" s="8" t="s">
        <v>163</v>
      </c>
      <c r="AK103" s="8" t="s">
        <v>163</v>
      </c>
      <c r="AL103" s="8" t="s">
        <v>163</v>
      </c>
      <c r="AM103" s="8" t="s">
        <v>136</v>
      </c>
      <c r="AN103" s="8" t="s">
        <v>136</v>
      </c>
      <c r="AO103" s="8" t="s">
        <v>163</v>
      </c>
      <c r="AP103" s="8" t="s">
        <v>163</v>
      </c>
      <c r="AQ103" s="8" t="s">
        <v>163</v>
      </c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 t="s">
        <v>137</v>
      </c>
      <c r="BG103" s="7"/>
      <c r="BH103" s="8" t="s">
        <v>163</v>
      </c>
      <c r="BI103" s="8" t="s">
        <v>163</v>
      </c>
      <c r="BJ103" s="8" t="s">
        <v>406</v>
      </c>
      <c r="BK103" s="7">
        <v>45889.0</v>
      </c>
      <c r="BL103" s="8" t="s">
        <v>163</v>
      </c>
      <c r="BM103" s="8" t="s">
        <v>163</v>
      </c>
      <c r="BN103" s="8" t="s">
        <v>357</v>
      </c>
      <c r="BO103" s="8" t="s">
        <v>407</v>
      </c>
      <c r="BP103" s="8"/>
      <c r="BQ103" s="8"/>
      <c r="BR103" s="8"/>
      <c r="BS103" s="8"/>
      <c r="BT103" s="8"/>
      <c r="BU103" s="8"/>
      <c r="BV103" s="8"/>
      <c r="BW103" s="7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11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11"/>
      <c r="DJ103" s="8"/>
      <c r="DK103" s="11"/>
      <c r="DL103" s="8"/>
      <c r="DM103" s="11"/>
      <c r="DN103" s="8"/>
      <c r="DO103" s="11"/>
      <c r="DP103" s="8" t="s">
        <v>163</v>
      </c>
      <c r="DQ103" s="8"/>
      <c r="DR103" s="11"/>
      <c r="DS103" s="8"/>
      <c r="DT103" s="11"/>
      <c r="DU103" s="8"/>
      <c r="DV103" s="11"/>
      <c r="DW103" s="8"/>
      <c r="DX103" s="11"/>
      <c r="DY103" s="8"/>
      <c r="DZ103" s="8"/>
      <c r="EA103" s="8"/>
      <c r="EB103" s="8"/>
      <c r="EC103" s="8"/>
      <c r="ED103" s="10"/>
    </row>
    <row r="104" ht="22.5" customHeight="1">
      <c r="A104" s="12"/>
      <c r="B104" s="6"/>
      <c r="C104" s="8" t="s">
        <v>229</v>
      </c>
      <c r="D104" s="8"/>
      <c r="E104" s="8" t="s">
        <v>136</v>
      </c>
      <c r="F104" s="7">
        <v>45881.0</v>
      </c>
      <c r="G104" s="8" t="s">
        <v>137</v>
      </c>
      <c r="H104" s="8" t="s">
        <v>135</v>
      </c>
      <c r="I104" s="7">
        <v>45895.0</v>
      </c>
      <c r="J104" s="8" t="s">
        <v>138</v>
      </c>
      <c r="K104" s="8" t="s">
        <v>139</v>
      </c>
      <c r="L104" s="8" t="s">
        <v>140</v>
      </c>
      <c r="M104" s="8">
        <v>2.50812003E8</v>
      </c>
      <c r="N104" s="8" t="s">
        <v>382</v>
      </c>
      <c r="O104" s="8"/>
      <c r="P104" s="8" t="s">
        <v>384</v>
      </c>
      <c r="Q104" s="8"/>
      <c r="R104" s="8" t="s">
        <v>389</v>
      </c>
      <c r="S104" s="8" t="s">
        <v>408</v>
      </c>
      <c r="T104" s="8" t="s">
        <v>409</v>
      </c>
      <c r="U104" s="8" t="s">
        <v>183</v>
      </c>
      <c r="V104" s="8" t="s">
        <v>135</v>
      </c>
      <c r="W104" s="8" t="s">
        <v>136</v>
      </c>
      <c r="X104" s="8" t="s">
        <v>163</v>
      </c>
      <c r="Y104" s="8" t="s">
        <v>163</v>
      </c>
      <c r="Z104" s="8" t="s">
        <v>163</v>
      </c>
      <c r="AA104" s="8" t="s">
        <v>163</v>
      </c>
      <c r="AB104" s="8" t="s">
        <v>163</v>
      </c>
      <c r="AC104" s="8" t="s">
        <v>163</v>
      </c>
      <c r="AD104" s="8" t="s">
        <v>163</v>
      </c>
      <c r="AE104" s="8" t="s">
        <v>163</v>
      </c>
      <c r="AF104" s="8" t="s">
        <v>163</v>
      </c>
      <c r="AG104" s="8" t="s">
        <v>163</v>
      </c>
      <c r="AH104" s="8"/>
      <c r="AI104" s="8" t="s">
        <v>163</v>
      </c>
      <c r="AJ104" s="8" t="s">
        <v>163</v>
      </c>
      <c r="AK104" s="8" t="s">
        <v>163</v>
      </c>
      <c r="AL104" s="8" t="s">
        <v>163</v>
      </c>
      <c r="AM104" s="8" t="s">
        <v>136</v>
      </c>
      <c r="AN104" s="8" t="s">
        <v>163</v>
      </c>
      <c r="AO104" s="8" t="s">
        <v>163</v>
      </c>
      <c r="AP104" s="8" t="s">
        <v>163</v>
      </c>
      <c r="AQ104" s="8" t="s">
        <v>163</v>
      </c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 t="s">
        <v>137</v>
      </c>
      <c r="BG104" s="7"/>
      <c r="BH104" s="8" t="s">
        <v>163</v>
      </c>
      <c r="BI104" s="8" t="s">
        <v>136</v>
      </c>
      <c r="BJ104" s="8"/>
      <c r="BK104" s="7">
        <v>45894.0</v>
      </c>
      <c r="BL104" s="8" t="s">
        <v>163</v>
      </c>
      <c r="BM104" s="8" t="s">
        <v>163</v>
      </c>
      <c r="BN104" s="8" t="s">
        <v>357</v>
      </c>
      <c r="BO104" s="8" t="s">
        <v>410</v>
      </c>
      <c r="BP104" s="8"/>
      <c r="BQ104" s="8"/>
      <c r="BR104" s="8"/>
      <c r="BS104" s="8"/>
      <c r="BT104" s="8"/>
      <c r="BU104" s="8"/>
      <c r="BV104" s="8"/>
      <c r="BW104" s="7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11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11"/>
      <c r="DJ104" s="8"/>
      <c r="DK104" s="11"/>
      <c r="DL104" s="8"/>
      <c r="DM104" s="11"/>
      <c r="DN104" s="8"/>
      <c r="DO104" s="11"/>
      <c r="DP104" s="8" t="s">
        <v>163</v>
      </c>
      <c r="DQ104" s="8"/>
      <c r="DR104" s="11"/>
      <c r="DS104" s="8"/>
      <c r="DT104" s="11"/>
      <c r="DU104" s="8"/>
      <c r="DV104" s="11"/>
      <c r="DW104" s="8"/>
      <c r="DX104" s="11"/>
      <c r="DY104" s="8"/>
      <c r="DZ104" s="8"/>
      <c r="EA104" s="8"/>
      <c r="EB104" s="8"/>
      <c r="EC104" s="8"/>
      <c r="ED104" s="10"/>
    </row>
    <row r="105" ht="22.5" customHeight="1">
      <c r="A105" s="12"/>
      <c r="B105" s="6"/>
      <c r="C105" s="8" t="s">
        <v>202</v>
      </c>
      <c r="D105" s="8" t="s">
        <v>195</v>
      </c>
      <c r="E105" s="8" t="s">
        <v>136</v>
      </c>
      <c r="F105" s="7">
        <v>45881.0</v>
      </c>
      <c r="G105" s="8" t="s">
        <v>137</v>
      </c>
      <c r="H105" s="8" t="s">
        <v>135</v>
      </c>
      <c r="I105" s="7">
        <v>45884.0</v>
      </c>
      <c r="J105" s="8" t="s">
        <v>138</v>
      </c>
      <c r="K105" s="8"/>
      <c r="L105" s="8" t="s">
        <v>140</v>
      </c>
      <c r="M105" s="8">
        <v>2.50812004E8</v>
      </c>
      <c r="N105" s="8" t="s">
        <v>411</v>
      </c>
      <c r="O105" s="8" t="s">
        <v>412</v>
      </c>
      <c r="P105" s="8" t="s">
        <v>413</v>
      </c>
      <c r="Q105" s="8"/>
      <c r="R105" s="8" t="s">
        <v>389</v>
      </c>
      <c r="S105" s="8" t="s">
        <v>414</v>
      </c>
      <c r="T105" s="8" t="s">
        <v>344</v>
      </c>
      <c r="U105" s="8"/>
      <c r="V105" s="8"/>
      <c r="W105" s="8" t="s">
        <v>163</v>
      </c>
      <c r="X105" s="8" t="s">
        <v>163</v>
      </c>
      <c r="Y105" s="8" t="s">
        <v>163</v>
      </c>
      <c r="Z105" s="8" t="s">
        <v>163</v>
      </c>
      <c r="AA105" s="8" t="s">
        <v>163</v>
      </c>
      <c r="AB105" s="8" t="s">
        <v>163</v>
      </c>
      <c r="AC105" s="8" t="s">
        <v>163</v>
      </c>
      <c r="AD105" s="8" t="s">
        <v>163</v>
      </c>
      <c r="AE105" s="8" t="s">
        <v>163</v>
      </c>
      <c r="AF105" s="8" t="s">
        <v>163</v>
      </c>
      <c r="AG105" s="8" t="s">
        <v>163</v>
      </c>
      <c r="AH105" s="8"/>
      <c r="AI105" s="8" t="s">
        <v>163</v>
      </c>
      <c r="AJ105" s="8" t="s">
        <v>163</v>
      </c>
      <c r="AK105" s="8" t="s">
        <v>163</v>
      </c>
      <c r="AL105" s="8" t="s">
        <v>163</v>
      </c>
      <c r="AM105" s="8" t="s">
        <v>136</v>
      </c>
      <c r="AN105" s="8" t="s">
        <v>163</v>
      </c>
      <c r="AO105" s="8" t="s">
        <v>163</v>
      </c>
      <c r="AP105" s="8" t="s">
        <v>163</v>
      </c>
      <c r="AQ105" s="8" t="s">
        <v>163</v>
      </c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 t="s">
        <v>137</v>
      </c>
      <c r="BG105" s="7"/>
      <c r="BH105" s="8" t="s">
        <v>163</v>
      </c>
      <c r="BI105" s="8" t="s">
        <v>136</v>
      </c>
      <c r="BJ105" s="8"/>
      <c r="BK105" s="7">
        <v>45883.0</v>
      </c>
      <c r="BL105" s="8" t="s">
        <v>163</v>
      </c>
      <c r="BM105" s="8" t="s">
        <v>163</v>
      </c>
      <c r="BN105" s="8" t="s">
        <v>357</v>
      </c>
      <c r="BO105" s="8" t="s">
        <v>415</v>
      </c>
      <c r="BP105" s="8"/>
      <c r="BQ105" s="8"/>
      <c r="BR105" s="8" t="s">
        <v>416</v>
      </c>
      <c r="BS105" s="8" t="s">
        <v>197</v>
      </c>
      <c r="BT105" s="8" t="s">
        <v>136</v>
      </c>
      <c r="BU105" s="8"/>
      <c r="BV105" s="8"/>
      <c r="BW105" s="7">
        <v>45881.46093559028</v>
      </c>
      <c r="BX105" s="8" t="s">
        <v>202</v>
      </c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11">
        <v>45881.46425895834</v>
      </c>
      <c r="CQ105" s="8"/>
      <c r="CR105" s="8"/>
      <c r="CS105" s="8"/>
      <c r="CT105" s="8"/>
      <c r="CU105" s="8"/>
      <c r="CV105" s="8"/>
      <c r="CW105" s="8">
        <v>500.0</v>
      </c>
      <c r="CX105" s="8" t="s">
        <v>370</v>
      </c>
      <c r="CY105" s="8"/>
      <c r="CZ105" s="8"/>
      <c r="DA105" s="8"/>
      <c r="DB105" s="8"/>
      <c r="DC105" s="8"/>
      <c r="DD105" s="8"/>
      <c r="DE105" s="8"/>
      <c r="DF105" s="8"/>
      <c r="DG105" s="8"/>
      <c r="DH105" s="8" t="s">
        <v>195</v>
      </c>
      <c r="DI105" s="11"/>
      <c r="DJ105" s="8"/>
      <c r="DK105" s="11"/>
      <c r="DL105" s="8"/>
      <c r="DM105" s="11"/>
      <c r="DN105" s="8"/>
      <c r="DO105" s="11"/>
      <c r="DP105" s="8" t="s">
        <v>163</v>
      </c>
      <c r="DQ105" s="8"/>
      <c r="DR105" s="11"/>
      <c r="DS105" s="8"/>
      <c r="DT105" s="11"/>
      <c r="DU105" s="8"/>
      <c r="DV105" s="11"/>
      <c r="DW105" s="8"/>
      <c r="DX105" s="11"/>
      <c r="DY105" s="8"/>
      <c r="DZ105" s="8"/>
      <c r="EA105" s="8" t="s">
        <v>303</v>
      </c>
      <c r="EB105" s="8"/>
      <c r="EC105" s="8"/>
      <c r="ED105" s="10">
        <v>45881.46437565972</v>
      </c>
    </row>
    <row r="106" ht="22.5" customHeight="1">
      <c r="A106" s="12">
        <v>45881.47328465278</v>
      </c>
      <c r="B106" s="6"/>
      <c r="C106" s="8" t="s">
        <v>202</v>
      </c>
      <c r="D106" s="8" t="s">
        <v>195</v>
      </c>
      <c r="E106" s="8" t="s">
        <v>136</v>
      </c>
      <c r="F106" s="7">
        <v>45881.0</v>
      </c>
      <c r="G106" s="8" t="s">
        <v>137</v>
      </c>
      <c r="H106" s="8" t="s">
        <v>135</v>
      </c>
      <c r="I106" s="7">
        <v>45888.0</v>
      </c>
      <c r="J106" s="8" t="s">
        <v>138</v>
      </c>
      <c r="K106" s="8" t="s">
        <v>268</v>
      </c>
      <c r="L106" s="8" t="s">
        <v>140</v>
      </c>
      <c r="M106" s="8">
        <v>2.50812005E8</v>
      </c>
      <c r="N106" s="8" t="s">
        <v>382</v>
      </c>
      <c r="O106" s="8"/>
      <c r="P106" s="8" t="s">
        <v>384</v>
      </c>
      <c r="Q106" s="8"/>
      <c r="R106" s="8"/>
      <c r="S106" s="8" t="s">
        <v>417</v>
      </c>
      <c r="T106" s="8" t="s">
        <v>418</v>
      </c>
      <c r="U106" s="8" t="s">
        <v>183</v>
      </c>
      <c r="V106" s="8" t="s">
        <v>135</v>
      </c>
      <c r="W106" s="8" t="s">
        <v>163</v>
      </c>
      <c r="X106" s="8" t="s">
        <v>163</v>
      </c>
      <c r="Y106" s="8" t="s">
        <v>163</v>
      </c>
      <c r="Z106" s="8" t="s">
        <v>163</v>
      </c>
      <c r="AA106" s="8" t="s">
        <v>163</v>
      </c>
      <c r="AB106" s="8" t="s">
        <v>163</v>
      </c>
      <c r="AC106" s="8" t="s">
        <v>163</v>
      </c>
      <c r="AD106" s="8" t="s">
        <v>163</v>
      </c>
      <c r="AE106" s="8" t="s">
        <v>163</v>
      </c>
      <c r="AF106" s="8" t="s">
        <v>163</v>
      </c>
      <c r="AG106" s="8" t="s">
        <v>163</v>
      </c>
      <c r="AH106" s="8"/>
      <c r="AI106" s="8" t="s">
        <v>163</v>
      </c>
      <c r="AJ106" s="8" t="s">
        <v>163</v>
      </c>
      <c r="AK106" s="8" t="s">
        <v>163</v>
      </c>
      <c r="AL106" s="8" t="s">
        <v>136</v>
      </c>
      <c r="AM106" s="8" t="s">
        <v>136</v>
      </c>
      <c r="AN106" s="8" t="s">
        <v>163</v>
      </c>
      <c r="AO106" s="8" t="s">
        <v>163</v>
      </c>
      <c r="AP106" s="8" t="s">
        <v>163</v>
      </c>
      <c r="AQ106" s="8" t="s">
        <v>163</v>
      </c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 t="s">
        <v>137</v>
      </c>
      <c r="BG106" s="7"/>
      <c r="BH106" s="8" t="s">
        <v>163</v>
      </c>
      <c r="BI106" s="8" t="s">
        <v>136</v>
      </c>
      <c r="BJ106" s="8"/>
      <c r="BK106" s="7">
        <v>45887.0</v>
      </c>
      <c r="BL106" s="8" t="s">
        <v>163</v>
      </c>
      <c r="BM106" s="8" t="s">
        <v>163</v>
      </c>
      <c r="BN106" s="8" t="s">
        <v>357</v>
      </c>
      <c r="BO106" s="8" t="s">
        <v>419</v>
      </c>
      <c r="BP106" s="8"/>
      <c r="BQ106" s="8"/>
      <c r="BR106" s="8" t="s">
        <v>420</v>
      </c>
      <c r="BS106" s="8" t="s">
        <v>197</v>
      </c>
      <c r="BT106" s="8" t="s">
        <v>136</v>
      </c>
      <c r="BU106" s="8"/>
      <c r="BV106" s="8"/>
      <c r="BW106" s="7">
        <v>45881.48929402778</v>
      </c>
      <c r="BX106" s="8" t="s">
        <v>202</v>
      </c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11">
        <v>45881.49078258102</v>
      </c>
      <c r="CQ106" s="8" t="s">
        <v>195</v>
      </c>
      <c r="CR106" s="8" t="s">
        <v>271</v>
      </c>
      <c r="CS106" s="8" t="s">
        <v>272</v>
      </c>
      <c r="CT106" s="8" t="s">
        <v>273</v>
      </c>
      <c r="CU106" s="8" t="s">
        <v>274</v>
      </c>
      <c r="CV106" s="8"/>
      <c r="CW106" s="8">
        <v>500.0</v>
      </c>
      <c r="CX106" s="8" t="s">
        <v>370</v>
      </c>
      <c r="CY106" s="8"/>
      <c r="CZ106" s="8"/>
      <c r="DA106" s="8"/>
      <c r="DB106" s="8"/>
      <c r="DC106" s="8"/>
      <c r="DD106" s="8"/>
      <c r="DE106" s="8"/>
      <c r="DF106" s="8"/>
      <c r="DG106" s="8"/>
      <c r="DH106" s="8" t="s">
        <v>195</v>
      </c>
      <c r="DI106" s="11">
        <v>45881.490887824075</v>
      </c>
      <c r="DJ106" s="8"/>
      <c r="DK106" s="11"/>
      <c r="DL106" s="8"/>
      <c r="DM106" s="11"/>
      <c r="DN106" s="8"/>
      <c r="DO106" s="11"/>
      <c r="DP106" s="8" t="s">
        <v>163</v>
      </c>
      <c r="DQ106" s="8"/>
      <c r="DR106" s="11"/>
      <c r="DS106" s="8"/>
      <c r="DT106" s="11"/>
      <c r="DU106" s="8"/>
      <c r="DV106" s="11"/>
      <c r="DW106" s="8"/>
      <c r="DX106" s="11"/>
      <c r="DY106" s="8"/>
      <c r="DZ106" s="8"/>
      <c r="EA106" s="8" t="s">
        <v>303</v>
      </c>
      <c r="EB106" s="8"/>
      <c r="EC106" s="8"/>
      <c r="ED106" s="10">
        <v>45881.49110421297</v>
      </c>
    </row>
    <row r="107" ht="22.5" customHeight="1">
      <c r="A107" s="12">
        <v>45881.49857269676</v>
      </c>
      <c r="B107" s="6"/>
      <c r="C107" s="8" t="s">
        <v>244</v>
      </c>
      <c r="D107" s="8" t="s">
        <v>195</v>
      </c>
      <c r="E107" s="8" t="s">
        <v>136</v>
      </c>
      <c r="F107" s="7">
        <v>45881.0</v>
      </c>
      <c r="G107" s="8" t="s">
        <v>137</v>
      </c>
      <c r="H107" s="8" t="s">
        <v>135</v>
      </c>
      <c r="I107" s="7">
        <v>45897.0</v>
      </c>
      <c r="J107" s="8" t="s">
        <v>138</v>
      </c>
      <c r="K107" s="8" t="s">
        <v>139</v>
      </c>
      <c r="L107" s="8" t="s">
        <v>150</v>
      </c>
      <c r="M107" s="8">
        <v>2.50812006E8</v>
      </c>
      <c r="N107" s="8" t="s">
        <v>397</v>
      </c>
      <c r="O107" s="8"/>
      <c r="P107" s="8" t="s">
        <v>396</v>
      </c>
      <c r="Q107" s="8"/>
      <c r="R107" s="8" t="s">
        <v>398</v>
      </c>
      <c r="S107" s="8" t="s">
        <v>421</v>
      </c>
      <c r="T107" s="8" t="s">
        <v>422</v>
      </c>
      <c r="U107" s="8"/>
      <c r="V107" s="8"/>
      <c r="W107" s="8" t="s">
        <v>163</v>
      </c>
      <c r="X107" s="8" t="s">
        <v>163</v>
      </c>
      <c r="Y107" s="8" t="s">
        <v>163</v>
      </c>
      <c r="Z107" s="8" t="s">
        <v>163</v>
      </c>
      <c r="AA107" s="8" t="s">
        <v>163</v>
      </c>
      <c r="AB107" s="8" t="s">
        <v>163</v>
      </c>
      <c r="AC107" s="8" t="s">
        <v>136</v>
      </c>
      <c r="AD107" s="8" t="s">
        <v>163</v>
      </c>
      <c r="AE107" s="8" t="s">
        <v>163</v>
      </c>
      <c r="AF107" s="8" t="s">
        <v>163</v>
      </c>
      <c r="AG107" s="8" t="s">
        <v>163</v>
      </c>
      <c r="AH107" s="8"/>
      <c r="AI107" s="8" t="s">
        <v>163</v>
      </c>
      <c r="AJ107" s="8" t="s">
        <v>163</v>
      </c>
      <c r="AK107" s="8" t="s">
        <v>163</v>
      </c>
      <c r="AL107" s="8" t="s">
        <v>136</v>
      </c>
      <c r="AM107" s="8" t="s">
        <v>163</v>
      </c>
      <c r="AN107" s="8" t="s">
        <v>136</v>
      </c>
      <c r="AO107" s="8" t="s">
        <v>136</v>
      </c>
      <c r="AP107" s="8" t="s">
        <v>163</v>
      </c>
      <c r="AQ107" s="8" t="s">
        <v>163</v>
      </c>
      <c r="AR107" s="8"/>
      <c r="AS107" s="8"/>
      <c r="AT107" s="8"/>
      <c r="AU107" s="8"/>
      <c r="AV107" s="8"/>
      <c r="AW107" s="8"/>
      <c r="AX107" s="8"/>
      <c r="AY107" s="8" t="s">
        <v>423</v>
      </c>
      <c r="AZ107" s="8"/>
      <c r="BA107" s="8"/>
      <c r="BB107" s="8"/>
      <c r="BC107" s="8"/>
      <c r="BD107" s="8"/>
      <c r="BE107" s="8"/>
      <c r="BF107" s="8" t="s">
        <v>137</v>
      </c>
      <c r="BG107" s="7"/>
      <c r="BH107" s="8" t="s">
        <v>163</v>
      </c>
      <c r="BI107" s="8" t="s">
        <v>163</v>
      </c>
      <c r="BJ107" s="8" t="s">
        <v>424</v>
      </c>
      <c r="BK107" s="7">
        <v>45896.0</v>
      </c>
      <c r="BL107" s="8" t="s">
        <v>163</v>
      </c>
      <c r="BM107" s="8" t="s">
        <v>163</v>
      </c>
      <c r="BN107" s="8"/>
      <c r="BO107" s="8" t="s">
        <v>425</v>
      </c>
      <c r="BP107" s="8"/>
      <c r="BQ107" s="8"/>
      <c r="BR107" s="8" t="s">
        <v>426</v>
      </c>
      <c r="BS107" s="8" t="s">
        <v>197</v>
      </c>
      <c r="BT107" s="8" t="s">
        <v>136</v>
      </c>
      <c r="BU107" s="8"/>
      <c r="BV107" s="8"/>
      <c r="BW107" s="7">
        <v>45881.50042232639</v>
      </c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 t="s">
        <v>195</v>
      </c>
      <c r="CJ107" s="8" t="s">
        <v>196</v>
      </c>
      <c r="CK107" s="8" t="s">
        <v>197</v>
      </c>
      <c r="CL107" s="8"/>
      <c r="CM107" s="8"/>
      <c r="CN107" s="8"/>
      <c r="CO107" s="8"/>
      <c r="CP107" s="11">
        <v>45881.50193375</v>
      </c>
      <c r="CQ107" s="8" t="s">
        <v>195</v>
      </c>
      <c r="CR107" s="8" t="s">
        <v>271</v>
      </c>
      <c r="CS107" s="8" t="s">
        <v>272</v>
      </c>
      <c r="CT107" s="8" t="s">
        <v>273</v>
      </c>
      <c r="CU107" s="8" t="s">
        <v>274</v>
      </c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11"/>
      <c r="DJ107" s="8"/>
      <c r="DK107" s="11"/>
      <c r="DL107" s="8"/>
      <c r="DM107" s="11"/>
      <c r="DN107" s="8"/>
      <c r="DO107" s="11"/>
      <c r="DP107" s="8" t="s">
        <v>163</v>
      </c>
      <c r="DQ107" s="8"/>
      <c r="DR107" s="11"/>
      <c r="DS107" s="8"/>
      <c r="DT107" s="11"/>
      <c r="DU107" s="8"/>
      <c r="DV107" s="11"/>
      <c r="DW107" s="8"/>
      <c r="DX107" s="11"/>
      <c r="DY107" s="8"/>
      <c r="DZ107" s="8"/>
      <c r="EA107" s="8"/>
      <c r="EB107" s="8"/>
      <c r="EC107" s="8"/>
      <c r="ED107" s="10"/>
    </row>
    <row r="108" ht="22.5" customHeight="1">
      <c r="A108" s="12">
        <v>45881.514088599535</v>
      </c>
      <c r="B108" s="6"/>
      <c r="C108" s="8" t="s">
        <v>202</v>
      </c>
      <c r="D108" s="8" t="s">
        <v>195</v>
      </c>
      <c r="E108" s="8" t="s">
        <v>136</v>
      </c>
      <c r="F108" s="7">
        <v>45881.0</v>
      </c>
      <c r="G108" s="8" t="s">
        <v>137</v>
      </c>
      <c r="H108" s="8" t="s">
        <v>135</v>
      </c>
      <c r="I108" s="7">
        <v>45898.0</v>
      </c>
      <c r="J108" s="8" t="s">
        <v>138</v>
      </c>
      <c r="K108" s="8" t="s">
        <v>268</v>
      </c>
      <c r="L108" s="8" t="s">
        <v>150</v>
      </c>
      <c r="M108" s="8">
        <v>2.50812007E8</v>
      </c>
      <c r="N108" s="8" t="s">
        <v>151</v>
      </c>
      <c r="O108" s="8"/>
      <c r="P108" s="8" t="s">
        <v>403</v>
      </c>
      <c r="Q108" s="8"/>
      <c r="R108" s="8" t="s">
        <v>389</v>
      </c>
      <c r="S108" s="8" t="s">
        <v>427</v>
      </c>
      <c r="T108" s="8" t="s">
        <v>428</v>
      </c>
      <c r="U108" s="8" t="s">
        <v>183</v>
      </c>
      <c r="V108" s="8" t="s">
        <v>135</v>
      </c>
      <c r="W108" s="8" t="s">
        <v>163</v>
      </c>
      <c r="X108" s="8" t="s">
        <v>136</v>
      </c>
      <c r="Y108" s="8" t="s">
        <v>163</v>
      </c>
      <c r="Z108" s="8" t="s">
        <v>163</v>
      </c>
      <c r="AA108" s="8" t="s">
        <v>163</v>
      </c>
      <c r="AB108" s="8" t="s">
        <v>163</v>
      </c>
      <c r="AC108" s="8" t="s">
        <v>136</v>
      </c>
      <c r="AD108" s="8" t="s">
        <v>163</v>
      </c>
      <c r="AE108" s="8" t="s">
        <v>163</v>
      </c>
      <c r="AF108" s="8" t="s">
        <v>163</v>
      </c>
      <c r="AG108" s="8" t="s">
        <v>163</v>
      </c>
      <c r="AH108" s="8"/>
      <c r="AI108" s="8" t="s">
        <v>163</v>
      </c>
      <c r="AJ108" s="8" t="s">
        <v>163</v>
      </c>
      <c r="AK108" s="8" t="s">
        <v>163</v>
      </c>
      <c r="AL108" s="8" t="s">
        <v>136</v>
      </c>
      <c r="AM108" s="8" t="s">
        <v>136</v>
      </c>
      <c r="AN108" s="8" t="s">
        <v>136</v>
      </c>
      <c r="AO108" s="8" t="s">
        <v>163</v>
      </c>
      <c r="AP108" s="8" t="s">
        <v>163</v>
      </c>
      <c r="AQ108" s="8" t="s">
        <v>163</v>
      </c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 t="s">
        <v>137</v>
      </c>
      <c r="BG108" s="7"/>
      <c r="BH108" s="8" t="s">
        <v>163</v>
      </c>
      <c r="BI108" s="8" t="s">
        <v>163</v>
      </c>
      <c r="BJ108" s="8" t="s">
        <v>406</v>
      </c>
      <c r="BK108" s="7">
        <v>45897.0</v>
      </c>
      <c r="BL108" s="8" t="s">
        <v>163</v>
      </c>
      <c r="BM108" s="8" t="s">
        <v>163</v>
      </c>
      <c r="BN108" s="8" t="s">
        <v>429</v>
      </c>
      <c r="BO108" s="8" t="s">
        <v>430</v>
      </c>
      <c r="BP108" s="8"/>
      <c r="BQ108" s="8"/>
      <c r="BR108" s="8" t="s">
        <v>431</v>
      </c>
      <c r="BS108" s="8" t="s">
        <v>197</v>
      </c>
      <c r="BT108" s="8" t="s">
        <v>136</v>
      </c>
      <c r="BU108" s="8"/>
      <c r="BV108" s="8"/>
      <c r="BW108" s="7">
        <v>45881.52260960648</v>
      </c>
      <c r="BX108" s="8" t="s">
        <v>202</v>
      </c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 t="s">
        <v>196</v>
      </c>
      <c r="CK108" s="8" t="s">
        <v>197</v>
      </c>
      <c r="CL108" s="8"/>
      <c r="CM108" s="8"/>
      <c r="CN108" s="8"/>
      <c r="CO108" s="8"/>
      <c r="CP108" s="11">
        <v>45881.52437180556</v>
      </c>
      <c r="CQ108" s="8" t="s">
        <v>195</v>
      </c>
      <c r="CR108" s="8" t="s">
        <v>271</v>
      </c>
      <c r="CS108" s="8" t="s">
        <v>272</v>
      </c>
      <c r="CT108" s="8" t="s">
        <v>273</v>
      </c>
      <c r="CU108" s="8" t="s">
        <v>274</v>
      </c>
      <c r="CV108" s="8"/>
      <c r="CW108" s="8">
        <v>500.0</v>
      </c>
      <c r="CX108" s="8" t="s">
        <v>370</v>
      </c>
      <c r="CY108" s="8"/>
      <c r="CZ108" s="8"/>
      <c r="DA108" s="8"/>
      <c r="DB108" s="8"/>
      <c r="DC108" s="8"/>
      <c r="DD108" s="8"/>
      <c r="DE108" s="8"/>
      <c r="DF108" s="8"/>
      <c r="DG108" s="8"/>
      <c r="DH108" s="8" t="s">
        <v>195</v>
      </c>
      <c r="DI108" s="11">
        <v>45881.52460265046</v>
      </c>
      <c r="DJ108" s="8"/>
      <c r="DK108" s="11"/>
      <c r="DL108" s="8" t="s">
        <v>195</v>
      </c>
      <c r="DM108" s="11">
        <v>45881.52453920139</v>
      </c>
      <c r="DN108" s="8"/>
      <c r="DO108" s="11"/>
      <c r="DP108" s="8" t="s">
        <v>163</v>
      </c>
      <c r="DQ108" s="8"/>
      <c r="DR108" s="11"/>
      <c r="DS108" s="8"/>
      <c r="DT108" s="11"/>
      <c r="DU108" s="8"/>
      <c r="DV108" s="11"/>
      <c r="DW108" s="8" t="s">
        <v>195</v>
      </c>
      <c r="DX108" s="11">
        <v>45881.52453920139</v>
      </c>
      <c r="DY108" s="8"/>
      <c r="DZ108" s="8"/>
      <c r="EA108" s="8" t="s">
        <v>203</v>
      </c>
      <c r="EB108" s="8"/>
      <c r="EC108" s="8"/>
      <c r="ED108" s="10">
        <v>45881.52821744213</v>
      </c>
    </row>
    <row r="109" ht="22.5" customHeight="1">
      <c r="A109" s="12">
        <v>45881.535921608796</v>
      </c>
      <c r="B109" s="6"/>
      <c r="C109" s="8" t="s">
        <v>202</v>
      </c>
      <c r="D109" s="8" t="s">
        <v>195</v>
      </c>
      <c r="E109" s="8" t="s">
        <v>136</v>
      </c>
      <c r="F109" s="7">
        <v>45881.0</v>
      </c>
      <c r="G109" s="8" t="s">
        <v>137</v>
      </c>
      <c r="H109" s="8" t="s">
        <v>135</v>
      </c>
      <c r="I109" s="7">
        <v>45895.0</v>
      </c>
      <c r="J109" s="8" t="s">
        <v>138</v>
      </c>
      <c r="K109" s="8" t="s">
        <v>139</v>
      </c>
      <c r="L109" s="8" t="s">
        <v>140</v>
      </c>
      <c r="M109" s="8">
        <v>2.50812008E8</v>
      </c>
      <c r="N109" s="8" t="s">
        <v>411</v>
      </c>
      <c r="O109" s="8" t="s">
        <v>412</v>
      </c>
      <c r="P109" s="8" t="s">
        <v>413</v>
      </c>
      <c r="Q109" s="8" t="s">
        <v>412</v>
      </c>
      <c r="R109" s="8" t="s">
        <v>389</v>
      </c>
      <c r="S109" s="8" t="s">
        <v>432</v>
      </c>
      <c r="T109" s="8" t="s">
        <v>433</v>
      </c>
      <c r="U109" s="8"/>
      <c r="V109" s="8"/>
      <c r="W109" s="8" t="s">
        <v>163</v>
      </c>
      <c r="X109" s="8" t="s">
        <v>163</v>
      </c>
      <c r="Y109" s="8" t="s">
        <v>163</v>
      </c>
      <c r="Z109" s="8" t="s">
        <v>163</v>
      </c>
      <c r="AA109" s="8" t="s">
        <v>163</v>
      </c>
      <c r="AB109" s="8" t="s">
        <v>163</v>
      </c>
      <c r="AC109" s="8" t="s">
        <v>163</v>
      </c>
      <c r="AD109" s="8" t="s">
        <v>163</v>
      </c>
      <c r="AE109" s="8" t="s">
        <v>163</v>
      </c>
      <c r="AF109" s="8" t="s">
        <v>163</v>
      </c>
      <c r="AG109" s="8" t="s">
        <v>163</v>
      </c>
      <c r="AH109" s="8"/>
      <c r="AI109" s="8" t="s">
        <v>163</v>
      </c>
      <c r="AJ109" s="8" t="s">
        <v>163</v>
      </c>
      <c r="AK109" s="8" t="s">
        <v>163</v>
      </c>
      <c r="AL109" s="8" t="s">
        <v>136</v>
      </c>
      <c r="AM109" s="8" t="s">
        <v>163</v>
      </c>
      <c r="AN109" s="8" t="s">
        <v>163</v>
      </c>
      <c r="AO109" s="8" t="s">
        <v>163</v>
      </c>
      <c r="AP109" s="8" t="s">
        <v>163</v>
      </c>
      <c r="AQ109" s="8" t="s">
        <v>163</v>
      </c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 t="s">
        <v>137</v>
      </c>
      <c r="BG109" s="7"/>
      <c r="BH109" s="8" t="s">
        <v>163</v>
      </c>
      <c r="BI109" s="8" t="s">
        <v>136</v>
      </c>
      <c r="BJ109" s="8"/>
      <c r="BK109" s="7">
        <v>45894.0</v>
      </c>
      <c r="BL109" s="8" t="s">
        <v>163</v>
      </c>
      <c r="BM109" s="8" t="s">
        <v>163</v>
      </c>
      <c r="BN109" s="8"/>
      <c r="BO109" s="8" t="s">
        <v>434</v>
      </c>
      <c r="BP109" s="8"/>
      <c r="BQ109" s="8"/>
      <c r="BR109" s="8" t="s">
        <v>435</v>
      </c>
      <c r="BS109" s="8" t="s">
        <v>197</v>
      </c>
      <c r="BT109" s="8" t="s">
        <v>136</v>
      </c>
      <c r="BU109" s="8"/>
      <c r="BV109" s="8"/>
      <c r="BW109" s="7">
        <v>45881.537617361115</v>
      </c>
      <c r="BX109" s="8" t="s">
        <v>202</v>
      </c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11">
        <v>45881.55289924769</v>
      </c>
      <c r="CQ109" s="8" t="s">
        <v>195</v>
      </c>
      <c r="CR109" s="8" t="s">
        <v>271</v>
      </c>
      <c r="CS109" s="8" t="s">
        <v>272</v>
      </c>
      <c r="CT109" s="8" t="s">
        <v>273</v>
      </c>
      <c r="CU109" s="8" t="s">
        <v>274</v>
      </c>
      <c r="CV109" s="11">
        <v>45881.552874155095</v>
      </c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11"/>
      <c r="DJ109" s="8"/>
      <c r="DK109" s="11"/>
      <c r="DL109" s="8"/>
      <c r="DM109" s="11"/>
      <c r="DN109" s="8"/>
      <c r="DO109" s="11"/>
      <c r="DP109" s="8" t="s">
        <v>163</v>
      </c>
      <c r="DQ109" s="8"/>
      <c r="DR109" s="11"/>
      <c r="DS109" s="8"/>
      <c r="DT109" s="11"/>
      <c r="DU109" s="8"/>
      <c r="DV109" s="11"/>
      <c r="DW109" s="8"/>
      <c r="DX109" s="11"/>
      <c r="DY109" s="8"/>
      <c r="DZ109" s="8"/>
      <c r="EA109" s="8" t="s">
        <v>303</v>
      </c>
      <c r="EB109" s="8"/>
      <c r="EC109" s="8"/>
      <c r="ED109" s="10">
        <v>45881.55292379629</v>
      </c>
    </row>
    <row r="110" ht="22.5" customHeight="1">
      <c r="A110" s="12">
        <v>45895.47522334491</v>
      </c>
      <c r="B110" s="6"/>
      <c r="C110" s="8" t="s">
        <v>202</v>
      </c>
      <c r="D110" s="8" t="s">
        <v>195</v>
      </c>
      <c r="E110" s="8" t="s">
        <v>136</v>
      </c>
      <c r="F110" s="7">
        <v>45895.0</v>
      </c>
      <c r="G110" s="8" t="s">
        <v>436</v>
      </c>
      <c r="H110" s="8" t="s">
        <v>135</v>
      </c>
      <c r="I110" s="7">
        <v>45896.0</v>
      </c>
      <c r="J110" s="8" t="s">
        <v>138</v>
      </c>
      <c r="K110" s="8" t="s">
        <v>139</v>
      </c>
      <c r="L110" s="8" t="s">
        <v>140</v>
      </c>
      <c r="M110" s="8">
        <v>2.50826001E8</v>
      </c>
      <c r="N110" s="8" t="s">
        <v>151</v>
      </c>
      <c r="O110" s="8"/>
      <c r="P110" s="8" t="s">
        <v>153</v>
      </c>
      <c r="Q110" s="8" t="s">
        <v>437</v>
      </c>
      <c r="R110" s="8" t="s">
        <v>438</v>
      </c>
      <c r="S110" s="8" t="s">
        <v>439</v>
      </c>
      <c r="T110" s="8" t="s">
        <v>440</v>
      </c>
      <c r="U110" s="8" t="s">
        <v>441</v>
      </c>
      <c r="V110" s="8" t="s">
        <v>135</v>
      </c>
      <c r="W110" s="8" t="s">
        <v>163</v>
      </c>
      <c r="X110" s="8" t="s">
        <v>163</v>
      </c>
      <c r="Y110" s="8" t="s">
        <v>163</v>
      </c>
      <c r="Z110" s="8" t="s">
        <v>163</v>
      </c>
      <c r="AA110" s="8" t="s">
        <v>163</v>
      </c>
      <c r="AB110" s="8" t="s">
        <v>163</v>
      </c>
      <c r="AC110" s="8" t="s">
        <v>163</v>
      </c>
      <c r="AD110" s="8" t="s">
        <v>163</v>
      </c>
      <c r="AE110" s="8" t="s">
        <v>163</v>
      </c>
      <c r="AF110" s="8" t="s">
        <v>163</v>
      </c>
      <c r="AG110" s="8" t="s">
        <v>163</v>
      </c>
      <c r="AH110" s="8"/>
      <c r="AI110" s="8" t="s">
        <v>163</v>
      </c>
      <c r="AJ110" s="8" t="s">
        <v>163</v>
      </c>
      <c r="AK110" s="8" t="s">
        <v>163</v>
      </c>
      <c r="AL110" s="8" t="s">
        <v>163</v>
      </c>
      <c r="AM110" s="8" t="s">
        <v>163</v>
      </c>
      <c r="AN110" s="8" t="s">
        <v>163</v>
      </c>
      <c r="AO110" s="8" t="s">
        <v>163</v>
      </c>
      <c r="AP110" s="8" t="s">
        <v>163</v>
      </c>
      <c r="AQ110" s="8" t="s">
        <v>163</v>
      </c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 t="s">
        <v>442</v>
      </c>
      <c r="BF110" s="8" t="s">
        <v>436</v>
      </c>
      <c r="BG110" s="7"/>
      <c r="BH110" s="8" t="s">
        <v>163</v>
      </c>
      <c r="BI110" s="8" t="s">
        <v>163</v>
      </c>
      <c r="BJ110" s="8"/>
      <c r="BK110" s="7">
        <v>45895.0</v>
      </c>
      <c r="BL110" s="8" t="s">
        <v>163</v>
      </c>
      <c r="BM110" s="8" t="s">
        <v>163</v>
      </c>
      <c r="BN110" s="8"/>
      <c r="BO110" s="8" t="s">
        <v>443</v>
      </c>
      <c r="BP110" s="8"/>
      <c r="BQ110" s="8"/>
      <c r="BR110" s="8" t="s">
        <v>444</v>
      </c>
      <c r="BS110" s="8" t="s">
        <v>197</v>
      </c>
      <c r="BT110" s="8" t="s">
        <v>136</v>
      </c>
      <c r="BU110" s="8"/>
      <c r="BV110" s="8"/>
      <c r="BW110" s="7">
        <v>45895.4794559838</v>
      </c>
      <c r="BX110" s="8" t="s">
        <v>202</v>
      </c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11">
        <v>45895.48259680555</v>
      </c>
      <c r="CQ110" s="8"/>
      <c r="CR110" s="8"/>
      <c r="CS110" s="8"/>
      <c r="CT110" s="8"/>
      <c r="CU110" s="8"/>
      <c r="CV110" s="11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11"/>
      <c r="DJ110" s="8"/>
      <c r="DK110" s="11"/>
      <c r="DL110" s="8"/>
      <c r="DM110" s="11"/>
      <c r="DN110" s="8"/>
      <c r="DO110" s="11"/>
      <c r="DP110" s="8" t="s">
        <v>163</v>
      </c>
      <c r="DQ110" s="8"/>
      <c r="DR110" s="11"/>
      <c r="DS110" s="8"/>
      <c r="DT110" s="11"/>
      <c r="DU110" s="8"/>
      <c r="DV110" s="11"/>
      <c r="DW110" s="8"/>
      <c r="DX110" s="11"/>
      <c r="DY110" s="8"/>
      <c r="DZ110" s="8"/>
      <c r="EA110" s="8" t="s">
        <v>303</v>
      </c>
      <c r="EB110" s="8"/>
      <c r="EC110" s="8"/>
      <c r="ED110" s="10">
        <v>45895.483423784724</v>
      </c>
    </row>
    <row r="111" ht="22.5" customHeight="1">
      <c r="A111" s="12">
        <v>45895.477966481485</v>
      </c>
      <c r="B111" s="6"/>
      <c r="C111" s="8" t="s">
        <v>202</v>
      </c>
      <c r="D111" s="8" t="s">
        <v>195</v>
      </c>
      <c r="E111" s="8" t="s">
        <v>136</v>
      </c>
      <c r="F111" s="7">
        <v>45895.0</v>
      </c>
      <c r="G111" s="8" t="s">
        <v>436</v>
      </c>
      <c r="H111" s="8" t="s">
        <v>135</v>
      </c>
      <c r="I111" s="7">
        <v>45897.0</v>
      </c>
      <c r="J111" s="8" t="s">
        <v>138</v>
      </c>
      <c r="K111" s="8" t="s">
        <v>139</v>
      </c>
      <c r="L111" s="8" t="s">
        <v>150</v>
      </c>
      <c r="M111" s="8">
        <v>2.50826002E8</v>
      </c>
      <c r="N111" s="8" t="s">
        <v>151</v>
      </c>
      <c r="O111" s="8"/>
      <c r="P111" s="8" t="s">
        <v>153</v>
      </c>
      <c r="Q111" s="8"/>
      <c r="R111" s="8" t="s">
        <v>389</v>
      </c>
      <c r="S111" s="8" t="s">
        <v>439</v>
      </c>
      <c r="T111" s="8" t="s">
        <v>440</v>
      </c>
      <c r="U111" s="8" t="s">
        <v>183</v>
      </c>
      <c r="V111" s="8" t="s">
        <v>135</v>
      </c>
      <c r="W111" s="8" t="s">
        <v>163</v>
      </c>
      <c r="X111" s="8" t="s">
        <v>136</v>
      </c>
      <c r="Y111" s="8" t="s">
        <v>136</v>
      </c>
      <c r="Z111" s="8" t="s">
        <v>136</v>
      </c>
      <c r="AA111" s="8" t="s">
        <v>136</v>
      </c>
      <c r="AB111" s="8" t="s">
        <v>136</v>
      </c>
      <c r="AC111" s="8" t="s">
        <v>136</v>
      </c>
      <c r="AD111" s="8" t="s">
        <v>136</v>
      </c>
      <c r="AE111" s="8" t="s">
        <v>163</v>
      </c>
      <c r="AF111" s="8" t="s">
        <v>163</v>
      </c>
      <c r="AG111" s="8" t="s">
        <v>136</v>
      </c>
      <c r="AH111" s="8"/>
      <c r="AI111" s="8" t="s">
        <v>163</v>
      </c>
      <c r="AJ111" s="8" t="s">
        <v>163</v>
      </c>
      <c r="AK111" s="8" t="s">
        <v>163</v>
      </c>
      <c r="AL111" s="8" t="s">
        <v>163</v>
      </c>
      <c r="AM111" s="8" t="s">
        <v>163</v>
      </c>
      <c r="AN111" s="8" t="s">
        <v>136</v>
      </c>
      <c r="AO111" s="8" t="s">
        <v>163</v>
      </c>
      <c r="AP111" s="8" t="s">
        <v>136</v>
      </c>
      <c r="AQ111" s="8" t="s">
        <v>163</v>
      </c>
      <c r="AR111" s="8"/>
      <c r="AS111" s="8"/>
      <c r="AT111" s="8"/>
      <c r="AU111" s="8" t="s">
        <v>163</v>
      </c>
      <c r="AV111" s="8"/>
      <c r="AW111" s="8"/>
      <c r="AX111" s="8" t="s">
        <v>445</v>
      </c>
      <c r="AY111" s="8"/>
      <c r="AZ111" s="8" t="s">
        <v>440</v>
      </c>
      <c r="BA111" s="8"/>
      <c r="BB111" s="8"/>
      <c r="BC111" s="8"/>
      <c r="BD111" s="8"/>
      <c r="BE111" s="8"/>
      <c r="BF111" s="8" t="s">
        <v>436</v>
      </c>
      <c r="BG111" s="7"/>
      <c r="BH111" s="8" t="s">
        <v>136</v>
      </c>
      <c r="BI111" s="8" t="s">
        <v>163</v>
      </c>
      <c r="BJ111" s="8" t="s">
        <v>446</v>
      </c>
      <c r="BK111" s="7">
        <v>45896.0</v>
      </c>
      <c r="BL111" s="8" t="s">
        <v>136</v>
      </c>
      <c r="BM111" s="8" t="s">
        <v>163</v>
      </c>
      <c r="BN111" s="8"/>
      <c r="BO111" s="8" t="s">
        <v>447</v>
      </c>
      <c r="BP111" s="8"/>
      <c r="BQ111" s="8">
        <v>123.0</v>
      </c>
      <c r="BR111" s="8" t="s">
        <v>448</v>
      </c>
      <c r="BS111" s="8" t="s">
        <v>197</v>
      </c>
      <c r="BT111" s="8" t="s">
        <v>136</v>
      </c>
      <c r="BU111" s="8" t="s">
        <v>261</v>
      </c>
      <c r="BV111" s="8" t="s">
        <v>197</v>
      </c>
      <c r="BW111" s="7">
        <v>45895.48109450232</v>
      </c>
      <c r="BX111" s="8" t="s">
        <v>202</v>
      </c>
      <c r="BY111" s="8"/>
      <c r="BZ111" s="8" t="s">
        <v>195</v>
      </c>
      <c r="CA111" s="8" t="s">
        <v>195</v>
      </c>
      <c r="CB111" s="8" t="s">
        <v>195</v>
      </c>
      <c r="CC111" s="8" t="s">
        <v>195</v>
      </c>
      <c r="CD111" s="8" t="s">
        <v>195</v>
      </c>
      <c r="CE111" s="8"/>
      <c r="CF111" s="8"/>
      <c r="CG111" s="8"/>
      <c r="CH111" s="8"/>
      <c r="CI111" s="8"/>
      <c r="CJ111" s="8" t="s">
        <v>196</v>
      </c>
      <c r="CK111" s="8" t="s">
        <v>197</v>
      </c>
      <c r="CL111" s="8">
        <v>123.0</v>
      </c>
      <c r="CM111" s="8" t="s">
        <v>197</v>
      </c>
      <c r="CN111" s="8"/>
      <c r="CO111" s="8"/>
      <c r="CP111" s="11">
        <v>45895.48507277778</v>
      </c>
      <c r="CQ111" s="8"/>
      <c r="CR111" s="8"/>
      <c r="CS111" s="8"/>
      <c r="CT111" s="8"/>
      <c r="CU111" s="8"/>
      <c r="CV111" s="11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11"/>
      <c r="DJ111" s="8"/>
      <c r="DK111" s="11"/>
      <c r="DL111" s="8" t="s">
        <v>195</v>
      </c>
      <c r="DM111" s="11">
        <v>45895.48529287037</v>
      </c>
      <c r="DN111" s="8" t="s">
        <v>195</v>
      </c>
      <c r="DO111" s="11">
        <v>45895.4853922801</v>
      </c>
      <c r="DP111" s="8" t="s">
        <v>163</v>
      </c>
      <c r="DQ111" s="8"/>
      <c r="DR111" s="11"/>
      <c r="DS111" s="8"/>
      <c r="DT111" s="11"/>
      <c r="DU111" s="8" t="s">
        <v>195</v>
      </c>
      <c r="DV111" s="11">
        <v>45895.485185115744</v>
      </c>
      <c r="DW111" s="8" t="s">
        <v>195</v>
      </c>
      <c r="DX111" s="11">
        <v>45895.48529287037</v>
      </c>
      <c r="DY111" s="8"/>
      <c r="DZ111" s="8"/>
      <c r="EA111" s="8" t="s">
        <v>203</v>
      </c>
      <c r="EB111" s="8"/>
      <c r="EC111" s="8"/>
      <c r="ED111" s="10">
        <v>45895.4893078125</v>
      </c>
    </row>
    <row r="112" ht="22.5" customHeight="1">
      <c r="A112" s="12">
        <v>45895.493165798616</v>
      </c>
      <c r="B112" s="6"/>
      <c r="C112" s="8" t="s">
        <v>202</v>
      </c>
      <c r="D112" s="8" t="s">
        <v>195</v>
      </c>
      <c r="E112" s="8" t="s">
        <v>136</v>
      </c>
      <c r="F112" s="7">
        <v>45895.0</v>
      </c>
      <c r="G112" s="8" t="s">
        <v>137</v>
      </c>
      <c r="H112" s="8" t="s">
        <v>135</v>
      </c>
      <c r="I112" s="7">
        <v>45902.0</v>
      </c>
      <c r="J112" s="8" t="s">
        <v>138</v>
      </c>
      <c r="K112" s="8" t="s">
        <v>139</v>
      </c>
      <c r="L112" s="8" t="s">
        <v>140</v>
      </c>
      <c r="M112" s="8">
        <v>2.50826003E8</v>
      </c>
      <c r="N112" s="8" t="s">
        <v>151</v>
      </c>
      <c r="O112" s="8" t="s">
        <v>152</v>
      </c>
      <c r="P112" s="8" t="s">
        <v>153</v>
      </c>
      <c r="Q112" s="8" t="s">
        <v>437</v>
      </c>
      <c r="R112" s="8" t="s">
        <v>389</v>
      </c>
      <c r="S112" s="8" t="s">
        <v>449</v>
      </c>
      <c r="T112" s="8" t="s">
        <v>450</v>
      </c>
      <c r="U112" s="8" t="s">
        <v>183</v>
      </c>
      <c r="V112" s="8" t="s">
        <v>135</v>
      </c>
      <c r="W112" s="8" t="s">
        <v>163</v>
      </c>
      <c r="X112" s="8" t="s">
        <v>163</v>
      </c>
      <c r="Y112" s="8" t="s">
        <v>163</v>
      </c>
      <c r="Z112" s="8" t="s">
        <v>163</v>
      </c>
      <c r="AA112" s="8" t="s">
        <v>163</v>
      </c>
      <c r="AB112" s="8" t="s">
        <v>163</v>
      </c>
      <c r="AC112" s="8" t="s">
        <v>163</v>
      </c>
      <c r="AD112" s="8" t="s">
        <v>163</v>
      </c>
      <c r="AE112" s="8" t="s">
        <v>163</v>
      </c>
      <c r="AF112" s="8" t="s">
        <v>163</v>
      </c>
      <c r="AG112" s="8" t="s">
        <v>163</v>
      </c>
      <c r="AH112" s="8"/>
      <c r="AI112" s="8" t="s">
        <v>163</v>
      </c>
      <c r="AJ112" s="8" t="s">
        <v>163</v>
      </c>
      <c r="AK112" s="8" t="s">
        <v>163</v>
      </c>
      <c r="AL112" s="8" t="s">
        <v>163</v>
      </c>
      <c r="AM112" s="8" t="s">
        <v>163</v>
      </c>
      <c r="AN112" s="8" t="s">
        <v>163</v>
      </c>
      <c r="AO112" s="8" t="s">
        <v>163</v>
      </c>
      <c r="AP112" s="8" t="s">
        <v>163</v>
      </c>
      <c r="AQ112" s="8" t="s">
        <v>163</v>
      </c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 t="s">
        <v>137</v>
      </c>
      <c r="BG112" s="7"/>
      <c r="BH112" s="8" t="s">
        <v>163</v>
      </c>
      <c r="BI112" s="8" t="s">
        <v>163</v>
      </c>
      <c r="BJ112" s="8"/>
      <c r="BK112" s="7">
        <v>45901.0</v>
      </c>
      <c r="BL112" s="8" t="s">
        <v>163</v>
      </c>
      <c r="BM112" s="8" t="s">
        <v>163</v>
      </c>
      <c r="BN112" s="8"/>
      <c r="BO112" s="8" t="s">
        <v>451</v>
      </c>
      <c r="BP112" s="8"/>
      <c r="BQ112" s="8"/>
      <c r="BR112" s="8" t="s">
        <v>452</v>
      </c>
      <c r="BS112" s="8" t="s">
        <v>197</v>
      </c>
      <c r="BT112" s="8" t="s">
        <v>136</v>
      </c>
      <c r="BU112" s="8"/>
      <c r="BV112" s="8"/>
      <c r="BW112" s="7">
        <v>45895.49650013889</v>
      </c>
      <c r="BX112" s="8" t="s">
        <v>202</v>
      </c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11">
        <v>45895.50679490741</v>
      </c>
      <c r="CQ112" s="8"/>
      <c r="CR112" s="8"/>
      <c r="CS112" s="8"/>
      <c r="CT112" s="8"/>
      <c r="CU112" s="8"/>
      <c r="CV112" s="11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11"/>
      <c r="DJ112" s="8"/>
      <c r="DK112" s="11"/>
      <c r="DL112" s="8"/>
      <c r="DM112" s="11"/>
      <c r="DN112" s="8"/>
      <c r="DO112" s="11"/>
      <c r="DP112" s="8" t="s">
        <v>163</v>
      </c>
      <c r="DQ112" s="8"/>
      <c r="DR112" s="11"/>
      <c r="DS112" s="8"/>
      <c r="DT112" s="11"/>
      <c r="DU112" s="8"/>
      <c r="DV112" s="11"/>
      <c r="DW112" s="8"/>
      <c r="DX112" s="11"/>
      <c r="DY112" s="8"/>
      <c r="DZ112" s="8"/>
      <c r="EA112" s="8" t="s">
        <v>303</v>
      </c>
      <c r="EB112" s="8"/>
      <c r="EC112" s="8"/>
      <c r="ED112" s="10">
        <v>45895.50793797454</v>
      </c>
    </row>
    <row r="113" ht="22.5" customHeight="1">
      <c r="A113" s="12">
        <v>45895.50008320602</v>
      </c>
      <c r="B113" s="6"/>
      <c r="C113" s="8" t="s">
        <v>229</v>
      </c>
      <c r="D113" s="8" t="s">
        <v>195</v>
      </c>
      <c r="E113" s="8" t="s">
        <v>136</v>
      </c>
      <c r="F113" s="7">
        <v>45895.0</v>
      </c>
      <c r="G113" s="8" t="s">
        <v>137</v>
      </c>
      <c r="H113" s="8" t="s">
        <v>135</v>
      </c>
      <c r="I113" s="7">
        <v>45901.0</v>
      </c>
      <c r="J113" s="8" t="s">
        <v>138</v>
      </c>
      <c r="K113" s="8" t="s">
        <v>139</v>
      </c>
      <c r="L113" s="8" t="s">
        <v>150</v>
      </c>
      <c r="M113" s="8">
        <v>2.50826004E8</v>
      </c>
      <c r="N113" s="8" t="s">
        <v>151</v>
      </c>
      <c r="O113" s="8"/>
      <c r="P113" s="8" t="s">
        <v>153</v>
      </c>
      <c r="Q113" s="8"/>
      <c r="R113" s="8" t="s">
        <v>438</v>
      </c>
      <c r="S113" s="8" t="s">
        <v>453</v>
      </c>
      <c r="T113" s="8" t="s">
        <v>454</v>
      </c>
      <c r="U113" s="8" t="s">
        <v>183</v>
      </c>
      <c r="V113" s="8" t="s">
        <v>135</v>
      </c>
      <c r="W113" s="8" t="s">
        <v>136</v>
      </c>
      <c r="X113" s="8" t="s">
        <v>136</v>
      </c>
      <c r="Y113" s="8" t="s">
        <v>163</v>
      </c>
      <c r="Z113" s="8" t="s">
        <v>136</v>
      </c>
      <c r="AA113" s="8" t="s">
        <v>163</v>
      </c>
      <c r="AB113" s="8" t="s">
        <v>163</v>
      </c>
      <c r="AC113" s="8" t="s">
        <v>136</v>
      </c>
      <c r="AD113" s="8" t="s">
        <v>136</v>
      </c>
      <c r="AE113" s="8" t="s">
        <v>136</v>
      </c>
      <c r="AF113" s="8" t="s">
        <v>163</v>
      </c>
      <c r="AG113" s="8" t="s">
        <v>163</v>
      </c>
      <c r="AH113" s="8"/>
      <c r="AI113" s="8" t="s">
        <v>163</v>
      </c>
      <c r="AJ113" s="8" t="s">
        <v>163</v>
      </c>
      <c r="AK113" s="8" t="s">
        <v>163</v>
      </c>
      <c r="AL113" s="8" t="s">
        <v>163</v>
      </c>
      <c r="AM113" s="8" t="s">
        <v>163</v>
      </c>
      <c r="AN113" s="8" t="s">
        <v>136</v>
      </c>
      <c r="AO113" s="8" t="s">
        <v>163</v>
      </c>
      <c r="AP113" s="8" t="s">
        <v>136</v>
      </c>
      <c r="AQ113" s="8" t="s">
        <v>136</v>
      </c>
      <c r="AR113" s="8"/>
      <c r="AS113" s="8" t="s">
        <v>163</v>
      </c>
      <c r="AT113" s="8"/>
      <c r="AU113" s="8" t="s">
        <v>163</v>
      </c>
      <c r="AV113" s="8"/>
      <c r="AW113" s="8"/>
      <c r="AX113" s="8" t="s">
        <v>455</v>
      </c>
      <c r="AY113" s="8"/>
      <c r="AZ113" s="8" t="s">
        <v>356</v>
      </c>
      <c r="BA113" s="8" t="s">
        <v>361</v>
      </c>
      <c r="BB113" s="8"/>
      <c r="BC113" s="8"/>
      <c r="BD113" s="8"/>
      <c r="BE113" s="8"/>
      <c r="BF113" s="8" t="s">
        <v>137</v>
      </c>
      <c r="BG113" s="7"/>
      <c r="BH113" s="8" t="s">
        <v>136</v>
      </c>
      <c r="BI113" s="8" t="s">
        <v>163</v>
      </c>
      <c r="BJ113" s="8" t="s">
        <v>219</v>
      </c>
      <c r="BK113" s="7">
        <v>45904.0</v>
      </c>
      <c r="BL113" s="8" t="s">
        <v>163</v>
      </c>
      <c r="BM113" s="8" t="s">
        <v>136</v>
      </c>
      <c r="BN113" s="8"/>
      <c r="BO113" s="8" t="s">
        <v>456</v>
      </c>
      <c r="BP113" s="8"/>
      <c r="BQ113" s="8"/>
      <c r="BR113" s="8"/>
      <c r="BS113" s="8"/>
      <c r="BT113" s="8"/>
      <c r="BU113" s="8"/>
      <c r="BV113" s="8"/>
      <c r="BW113" s="7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11"/>
      <c r="CQ113" s="8"/>
      <c r="CR113" s="8"/>
      <c r="CS113" s="8"/>
      <c r="CT113" s="8"/>
      <c r="CU113" s="8"/>
      <c r="CV113" s="11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11"/>
      <c r="DJ113" s="8"/>
      <c r="DK113" s="11"/>
      <c r="DL113" s="8"/>
      <c r="DM113" s="11"/>
      <c r="DN113" s="8"/>
      <c r="DO113" s="11"/>
      <c r="DP113" s="8" t="s">
        <v>136</v>
      </c>
      <c r="DQ113" s="8"/>
      <c r="DR113" s="11"/>
      <c r="DS113" s="8"/>
      <c r="DT113" s="11"/>
      <c r="DU113" s="8"/>
      <c r="DV113" s="11"/>
      <c r="DW113" s="8"/>
      <c r="DX113" s="11"/>
      <c r="DY113" s="8"/>
      <c r="DZ113" s="8"/>
      <c r="EA113" s="8"/>
      <c r="EB113" s="8"/>
      <c r="EC113" s="8"/>
      <c r="ED113" s="10"/>
    </row>
    <row r="114" ht="22.5" customHeight="1">
      <c r="A114" s="12">
        <v>45986.66924042824</v>
      </c>
      <c r="B114" s="6"/>
      <c r="C114" s="8" t="s">
        <v>244</v>
      </c>
      <c r="D114" s="8" t="s">
        <v>195</v>
      </c>
      <c r="E114" s="8" t="s">
        <v>136</v>
      </c>
      <c r="F114" s="7">
        <v>45986.0</v>
      </c>
      <c r="G114" s="8" t="s">
        <v>205</v>
      </c>
      <c r="H114" s="8" t="s">
        <v>457</v>
      </c>
      <c r="I114" s="7">
        <v>45986.0</v>
      </c>
      <c r="J114" s="8" t="s">
        <v>138</v>
      </c>
      <c r="K114" s="8" t="s">
        <v>139</v>
      </c>
      <c r="L114" s="8" t="s">
        <v>140</v>
      </c>
      <c r="M114" s="8">
        <v>2.51125001E8</v>
      </c>
      <c r="N114" s="8" t="s">
        <v>458</v>
      </c>
      <c r="O114" s="8"/>
      <c r="P114" s="8" t="s">
        <v>211</v>
      </c>
      <c r="Q114" s="8" t="s">
        <v>285</v>
      </c>
      <c r="R114" s="8" t="s">
        <v>208</v>
      </c>
      <c r="S114" s="8" t="s">
        <v>459</v>
      </c>
      <c r="T114" s="8" t="s">
        <v>460</v>
      </c>
      <c r="U114" s="8" t="s">
        <v>211</v>
      </c>
      <c r="V114" s="8" t="s">
        <v>457</v>
      </c>
      <c r="W114" s="8" t="s">
        <v>163</v>
      </c>
      <c r="X114" s="8" t="s">
        <v>163</v>
      </c>
      <c r="Y114" s="8" t="s">
        <v>163</v>
      </c>
      <c r="Z114" s="8"/>
      <c r="AA114" s="8"/>
      <c r="AB114" s="8"/>
      <c r="AC114" s="8" t="s">
        <v>163</v>
      </c>
      <c r="AD114" s="8" t="s">
        <v>163</v>
      </c>
      <c r="AE114" s="8" t="s">
        <v>163</v>
      </c>
      <c r="AF114" s="8" t="s">
        <v>163</v>
      </c>
      <c r="AG114" s="8" t="s">
        <v>163</v>
      </c>
      <c r="AH114" s="8"/>
      <c r="AI114" s="8" t="s">
        <v>163</v>
      </c>
      <c r="AJ114" s="8" t="s">
        <v>163</v>
      </c>
      <c r="AK114" s="8" t="s">
        <v>163</v>
      </c>
      <c r="AL114" s="8" t="s">
        <v>163</v>
      </c>
      <c r="AM114" s="8" t="s">
        <v>163</v>
      </c>
      <c r="AN114" s="8" t="s">
        <v>163</v>
      </c>
      <c r="AO114" s="8" t="s">
        <v>163</v>
      </c>
      <c r="AP114" s="8" t="s">
        <v>163</v>
      </c>
      <c r="AQ114" s="8" t="s">
        <v>163</v>
      </c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 t="s">
        <v>211</v>
      </c>
      <c r="BG114" s="7"/>
      <c r="BH114" s="8"/>
      <c r="BI114" s="8" t="s">
        <v>163</v>
      </c>
      <c r="BJ114" s="8"/>
      <c r="BK114" s="7">
        <v>45986.0</v>
      </c>
      <c r="BL114" s="8" t="s">
        <v>163</v>
      </c>
      <c r="BM114" s="8" t="s">
        <v>163</v>
      </c>
      <c r="BN114" s="8"/>
      <c r="BO114" s="8" t="s">
        <v>461</v>
      </c>
      <c r="BP114" s="8"/>
      <c r="BQ114" s="8"/>
      <c r="BR114" s="8" t="s">
        <v>462</v>
      </c>
      <c r="BS114" s="8" t="s">
        <v>214</v>
      </c>
      <c r="BT114" s="8" t="s">
        <v>136</v>
      </c>
      <c r="BU114" s="8"/>
      <c r="BV114" s="8"/>
      <c r="BW114" s="7">
        <v>45986.691582326384</v>
      </c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11"/>
      <c r="CQ114" s="8"/>
      <c r="CR114" s="8"/>
      <c r="CS114" s="8"/>
      <c r="CT114" s="8"/>
      <c r="CU114" s="8"/>
      <c r="CV114" s="11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11"/>
      <c r="DJ114" s="8"/>
      <c r="DK114" s="11"/>
      <c r="DL114" s="8"/>
      <c r="DM114" s="11"/>
      <c r="DN114" s="8"/>
      <c r="DO114" s="11"/>
      <c r="DP114" s="8" t="s">
        <v>163</v>
      </c>
      <c r="DQ114" s="8"/>
      <c r="DR114" s="11"/>
      <c r="DS114" s="8"/>
      <c r="DT114" s="11"/>
      <c r="DU114" s="8"/>
      <c r="DV114" s="11"/>
      <c r="DW114" s="8"/>
      <c r="DX114" s="11"/>
      <c r="DY114" s="8"/>
      <c r="DZ114" s="8"/>
      <c r="EA114" s="8"/>
      <c r="EB114" s="8"/>
      <c r="EC114" s="8"/>
      <c r="ED114" s="10"/>
    </row>
    <row r="115" ht="22.5" customHeight="1">
      <c r="A115" s="12">
        <v>45986.69084885417</v>
      </c>
      <c r="B115" s="6"/>
      <c r="C115" s="8" t="s">
        <v>244</v>
      </c>
      <c r="D115" s="8" t="s">
        <v>195</v>
      </c>
      <c r="E115" s="8" t="s">
        <v>136</v>
      </c>
      <c r="F115" s="7">
        <v>45986.0</v>
      </c>
      <c r="G115" s="8" t="s">
        <v>205</v>
      </c>
      <c r="H115" s="8" t="s">
        <v>457</v>
      </c>
      <c r="I115" s="7">
        <v>45986.0</v>
      </c>
      <c r="J115" s="8" t="s">
        <v>138</v>
      </c>
      <c r="K115" s="8" t="s">
        <v>139</v>
      </c>
      <c r="L115" s="8" t="s">
        <v>140</v>
      </c>
      <c r="M115" s="8">
        <v>2.51125002E8</v>
      </c>
      <c r="N115" s="8" t="s">
        <v>458</v>
      </c>
      <c r="O115" s="8"/>
      <c r="P115" s="8" t="s">
        <v>211</v>
      </c>
      <c r="Q115" s="8" t="s">
        <v>285</v>
      </c>
      <c r="R115" s="8" t="s">
        <v>208</v>
      </c>
      <c r="S115" s="8" t="s">
        <v>459</v>
      </c>
      <c r="T115" s="8" t="s">
        <v>460</v>
      </c>
      <c r="U115" s="8" t="s">
        <v>211</v>
      </c>
      <c r="V115" s="8" t="s">
        <v>457</v>
      </c>
      <c r="W115" s="8" t="s">
        <v>163</v>
      </c>
      <c r="X115" s="8" t="s">
        <v>163</v>
      </c>
      <c r="Y115" s="8" t="s">
        <v>163</v>
      </c>
      <c r="Z115" s="8"/>
      <c r="AA115" s="8"/>
      <c r="AB115" s="8"/>
      <c r="AC115" s="8" t="s">
        <v>163</v>
      </c>
      <c r="AD115" s="8" t="s">
        <v>163</v>
      </c>
      <c r="AE115" s="8" t="s">
        <v>163</v>
      </c>
      <c r="AF115" s="8" t="s">
        <v>163</v>
      </c>
      <c r="AG115" s="8" t="s">
        <v>163</v>
      </c>
      <c r="AH115" s="8"/>
      <c r="AI115" s="8" t="s">
        <v>163</v>
      </c>
      <c r="AJ115" s="8" t="s">
        <v>163</v>
      </c>
      <c r="AK115" s="8" t="s">
        <v>163</v>
      </c>
      <c r="AL115" s="8" t="s">
        <v>163</v>
      </c>
      <c r="AM115" s="8" t="s">
        <v>163</v>
      </c>
      <c r="AN115" s="8" t="s">
        <v>163</v>
      </c>
      <c r="AO115" s="8" t="s">
        <v>163</v>
      </c>
      <c r="AP115" s="8" t="s">
        <v>163</v>
      </c>
      <c r="AQ115" s="8" t="s">
        <v>163</v>
      </c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 t="s">
        <v>211</v>
      </c>
      <c r="BG115" s="7"/>
      <c r="BH115" s="8"/>
      <c r="BI115" s="8" t="s">
        <v>163</v>
      </c>
      <c r="BJ115" s="8"/>
      <c r="BK115" s="7">
        <v>45987.0</v>
      </c>
      <c r="BL115" s="8" t="s">
        <v>163</v>
      </c>
      <c r="BM115" s="8" t="s">
        <v>163</v>
      </c>
      <c r="BN115" s="8"/>
      <c r="BO115" s="8" t="s">
        <v>463</v>
      </c>
      <c r="BP115" s="8"/>
      <c r="BQ115" s="8"/>
      <c r="BR115" s="8" t="s">
        <v>462</v>
      </c>
      <c r="BS115" s="8" t="s">
        <v>464</v>
      </c>
      <c r="BT115" s="8" t="s">
        <v>136</v>
      </c>
      <c r="BU115" s="8"/>
      <c r="BV115" s="8"/>
      <c r="BW115" s="7">
        <v>45986.69473984954</v>
      </c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11"/>
      <c r="CQ115" s="8"/>
      <c r="CR115" s="8"/>
      <c r="CS115" s="8"/>
      <c r="CT115" s="8"/>
      <c r="CU115" s="8"/>
      <c r="CV115" s="11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11"/>
      <c r="DJ115" s="8"/>
      <c r="DK115" s="11"/>
      <c r="DL115" s="8"/>
      <c r="DM115" s="11"/>
      <c r="DN115" s="8"/>
      <c r="DO115" s="11"/>
      <c r="DP115" s="8" t="s">
        <v>163</v>
      </c>
      <c r="DQ115" s="8"/>
      <c r="DR115" s="11"/>
      <c r="DS115" s="8"/>
      <c r="DT115" s="11"/>
      <c r="DU115" s="8"/>
      <c r="DV115" s="11"/>
      <c r="DW115" s="8"/>
      <c r="DX115" s="11"/>
      <c r="DY115" s="8"/>
      <c r="DZ115" s="8"/>
      <c r="EA115" s="8"/>
      <c r="EB115" s="8"/>
      <c r="EC115" s="8"/>
      <c r="ED115" s="10"/>
    </row>
    <row r="116" ht="22.5" customHeight="1">
      <c r="A116" s="12">
        <v>45986.70146486111</v>
      </c>
      <c r="B116" s="6"/>
      <c r="C116" s="8" t="s">
        <v>229</v>
      </c>
      <c r="D116" s="8" t="s">
        <v>195</v>
      </c>
      <c r="E116" s="8" t="s">
        <v>136</v>
      </c>
      <c r="F116" s="7">
        <v>45972.0</v>
      </c>
      <c r="G116" s="8" t="s">
        <v>205</v>
      </c>
      <c r="H116" s="8" t="s">
        <v>457</v>
      </c>
      <c r="I116" s="7">
        <v>45982.0</v>
      </c>
      <c r="J116" s="8" t="s">
        <v>138</v>
      </c>
      <c r="K116" s="8" t="s">
        <v>139</v>
      </c>
      <c r="L116" s="8" t="s">
        <v>140</v>
      </c>
      <c r="M116" s="8">
        <v>2.51125003E8</v>
      </c>
      <c r="N116" s="8" t="s">
        <v>458</v>
      </c>
      <c r="O116" s="8"/>
      <c r="P116" s="8" t="s">
        <v>211</v>
      </c>
      <c r="Q116" s="8" t="s">
        <v>207</v>
      </c>
      <c r="R116" s="8" t="s">
        <v>208</v>
      </c>
      <c r="S116" s="8" t="s">
        <v>453</v>
      </c>
      <c r="T116" s="8" t="s">
        <v>465</v>
      </c>
      <c r="U116" s="8" t="s">
        <v>211</v>
      </c>
      <c r="V116" s="8" t="s">
        <v>466</v>
      </c>
      <c r="W116" s="8" t="s">
        <v>163</v>
      </c>
      <c r="X116" s="8" t="s">
        <v>163</v>
      </c>
      <c r="Y116" s="8" t="s">
        <v>163</v>
      </c>
      <c r="Z116" s="8"/>
      <c r="AA116" s="8"/>
      <c r="AB116" s="8"/>
      <c r="AC116" s="8" t="s">
        <v>163</v>
      </c>
      <c r="AD116" s="8" t="s">
        <v>163</v>
      </c>
      <c r="AE116" s="8" t="s">
        <v>163</v>
      </c>
      <c r="AF116" s="8" t="s">
        <v>163</v>
      </c>
      <c r="AG116" s="8" t="s">
        <v>163</v>
      </c>
      <c r="AH116" s="8"/>
      <c r="AI116" s="8" t="s">
        <v>163</v>
      </c>
      <c r="AJ116" s="8" t="s">
        <v>163</v>
      </c>
      <c r="AK116" s="8" t="s">
        <v>163</v>
      </c>
      <c r="AL116" s="8" t="s">
        <v>163</v>
      </c>
      <c r="AM116" s="8" t="s">
        <v>163</v>
      </c>
      <c r="AN116" s="8" t="s">
        <v>163</v>
      </c>
      <c r="AO116" s="8" t="s">
        <v>163</v>
      </c>
      <c r="AP116" s="8" t="s">
        <v>163</v>
      </c>
      <c r="AQ116" s="8" t="s">
        <v>163</v>
      </c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 t="s">
        <v>211</v>
      </c>
      <c r="BG116" s="7"/>
      <c r="BH116" s="8"/>
      <c r="BI116" s="8" t="s">
        <v>163</v>
      </c>
      <c r="BJ116" s="8"/>
      <c r="BK116" s="7">
        <v>45986.0</v>
      </c>
      <c r="BL116" s="8" t="s">
        <v>163</v>
      </c>
      <c r="BM116" s="8" t="s">
        <v>163</v>
      </c>
      <c r="BN116" s="8"/>
      <c r="BO116" s="8" t="s">
        <v>467</v>
      </c>
      <c r="BP116" s="8"/>
      <c r="BQ116" s="8"/>
      <c r="BR116" s="8"/>
      <c r="BS116" s="8"/>
      <c r="BT116" s="8"/>
      <c r="BU116" s="8"/>
      <c r="BV116" s="8"/>
      <c r="BW116" s="7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11"/>
      <c r="CQ116" s="8"/>
      <c r="CR116" s="8"/>
      <c r="CS116" s="8"/>
      <c r="CT116" s="8"/>
      <c r="CU116" s="8"/>
      <c r="CV116" s="11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11"/>
      <c r="DJ116" s="8"/>
      <c r="DK116" s="11"/>
      <c r="DL116" s="8"/>
      <c r="DM116" s="11"/>
      <c r="DN116" s="8"/>
      <c r="DO116" s="11"/>
      <c r="DP116" s="8" t="s">
        <v>163</v>
      </c>
      <c r="DQ116" s="8"/>
      <c r="DR116" s="11"/>
      <c r="DS116" s="8"/>
      <c r="DT116" s="11"/>
      <c r="DU116" s="8"/>
      <c r="DV116" s="11"/>
      <c r="DW116" s="8"/>
      <c r="DX116" s="11"/>
      <c r="DY116" s="8"/>
      <c r="DZ116" s="8"/>
      <c r="EA116" s="8"/>
      <c r="EB116" s="8"/>
      <c r="EC116" s="8"/>
      <c r="ED116" s="10"/>
    </row>
    <row r="117" ht="22.5" customHeight="1">
      <c r="A117" s="12">
        <v>45986.71163521991</v>
      </c>
      <c r="B117" s="6"/>
      <c r="C117" s="8" t="s">
        <v>202</v>
      </c>
      <c r="D117" s="8" t="s">
        <v>195</v>
      </c>
      <c r="E117" s="8" t="s">
        <v>136</v>
      </c>
      <c r="F117" s="7">
        <v>45980.0</v>
      </c>
      <c r="G117" s="8" t="s">
        <v>205</v>
      </c>
      <c r="H117" s="8" t="s">
        <v>466</v>
      </c>
      <c r="I117" s="7">
        <v>45986.0</v>
      </c>
      <c r="J117" s="8" t="s">
        <v>138</v>
      </c>
      <c r="K117" s="8" t="s">
        <v>139</v>
      </c>
      <c r="L117" s="8" t="s">
        <v>140</v>
      </c>
      <c r="M117" s="8">
        <v>2.51125004E8</v>
      </c>
      <c r="N117" s="8" t="s">
        <v>215</v>
      </c>
      <c r="O117" s="8"/>
      <c r="P117" s="8" t="s">
        <v>216</v>
      </c>
      <c r="Q117" s="8"/>
      <c r="R117" s="8" t="s">
        <v>208</v>
      </c>
      <c r="S117" s="8" t="s">
        <v>390</v>
      </c>
      <c r="T117" s="8" t="s">
        <v>468</v>
      </c>
      <c r="U117" s="8" t="s">
        <v>211</v>
      </c>
      <c r="V117" s="8" t="s">
        <v>457</v>
      </c>
      <c r="W117" s="8" t="s">
        <v>163</v>
      </c>
      <c r="X117" s="8" t="s">
        <v>163</v>
      </c>
      <c r="Y117" s="8" t="s">
        <v>163</v>
      </c>
      <c r="Z117" s="8"/>
      <c r="AA117" s="8"/>
      <c r="AB117" s="8"/>
      <c r="AC117" s="8" t="s">
        <v>163</v>
      </c>
      <c r="AD117" s="8" t="s">
        <v>163</v>
      </c>
      <c r="AE117" s="8" t="s">
        <v>163</v>
      </c>
      <c r="AF117" s="8" t="s">
        <v>163</v>
      </c>
      <c r="AG117" s="8" t="s">
        <v>163</v>
      </c>
      <c r="AH117" s="8"/>
      <c r="AI117" s="8" t="s">
        <v>163</v>
      </c>
      <c r="AJ117" s="8" t="s">
        <v>163</v>
      </c>
      <c r="AK117" s="8" t="s">
        <v>163</v>
      </c>
      <c r="AL117" s="8" t="s">
        <v>163</v>
      </c>
      <c r="AM117" s="8" t="s">
        <v>163</v>
      </c>
      <c r="AN117" s="8" t="s">
        <v>163</v>
      </c>
      <c r="AO117" s="8" t="s">
        <v>163</v>
      </c>
      <c r="AP117" s="8" t="s">
        <v>163</v>
      </c>
      <c r="AQ117" s="8" t="s">
        <v>163</v>
      </c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 t="s">
        <v>211</v>
      </c>
      <c r="BG117" s="7"/>
      <c r="BH117" s="8"/>
      <c r="BI117" s="8" t="s">
        <v>163</v>
      </c>
      <c r="BJ117" s="8"/>
      <c r="BK117" s="7">
        <v>45986.0</v>
      </c>
      <c r="BL117" s="8" t="s">
        <v>163</v>
      </c>
      <c r="BM117" s="8" t="s">
        <v>163</v>
      </c>
      <c r="BN117" s="8"/>
      <c r="BO117" s="8" t="s">
        <v>469</v>
      </c>
      <c r="BP117" s="8"/>
      <c r="BQ117" s="8"/>
      <c r="BR117" s="8" t="s">
        <v>470</v>
      </c>
      <c r="BS117" s="8" t="s">
        <v>471</v>
      </c>
      <c r="BT117" s="8" t="s">
        <v>163</v>
      </c>
      <c r="BU117" s="8"/>
      <c r="BV117" s="8"/>
      <c r="BW117" s="7">
        <v>45986.71939334491</v>
      </c>
      <c r="BX117" s="8" t="s">
        <v>202</v>
      </c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11">
        <v>45986.7214671875</v>
      </c>
      <c r="CQ117" s="8"/>
      <c r="CR117" s="8"/>
      <c r="CS117" s="8"/>
      <c r="CT117" s="8"/>
      <c r="CU117" s="8"/>
      <c r="CV117" s="11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11"/>
      <c r="DJ117" s="8"/>
      <c r="DK117" s="11"/>
      <c r="DL117" s="8"/>
      <c r="DM117" s="11"/>
      <c r="DN117" s="8"/>
      <c r="DO117" s="11"/>
      <c r="DP117" s="8" t="s">
        <v>163</v>
      </c>
      <c r="DQ117" s="8"/>
      <c r="DR117" s="11"/>
      <c r="DS117" s="8"/>
      <c r="DT117" s="11"/>
      <c r="DU117" s="8"/>
      <c r="DV117" s="11"/>
      <c r="DW117" s="8"/>
      <c r="DX117" s="11"/>
      <c r="DY117" s="8"/>
      <c r="DZ117" s="8"/>
      <c r="EA117" s="8" t="s">
        <v>303</v>
      </c>
      <c r="EB117" s="8"/>
      <c r="EC117" s="8"/>
      <c r="ED117" s="10">
        <v>45986.72342628472</v>
      </c>
    </row>
    <row r="118" ht="22.5" customHeight="1">
      <c r="A118" s="12">
        <v>45986.726434375</v>
      </c>
      <c r="B118" s="6"/>
      <c r="C118" s="8" t="s">
        <v>229</v>
      </c>
      <c r="D118" s="8" t="s">
        <v>472</v>
      </c>
      <c r="E118" s="8" t="s">
        <v>136</v>
      </c>
      <c r="F118" s="7">
        <v>45974.0</v>
      </c>
      <c r="G118" s="8" t="s">
        <v>473</v>
      </c>
      <c r="H118" s="8" t="s">
        <v>474</v>
      </c>
      <c r="I118" s="7">
        <v>45986.0</v>
      </c>
      <c r="J118" s="8" t="s">
        <v>138</v>
      </c>
      <c r="K118" s="8" t="s">
        <v>139</v>
      </c>
      <c r="L118" s="8" t="s">
        <v>140</v>
      </c>
      <c r="M118" s="8">
        <v>2.51125005E8</v>
      </c>
      <c r="N118" s="8" t="s">
        <v>475</v>
      </c>
      <c r="O118" s="8" t="s">
        <v>476</v>
      </c>
      <c r="P118" s="8" t="s">
        <v>476</v>
      </c>
      <c r="Q118" s="8" t="s">
        <v>473</v>
      </c>
      <c r="R118" s="8" t="s">
        <v>208</v>
      </c>
      <c r="S118" s="8" t="s">
        <v>477</v>
      </c>
      <c r="T118" s="8" t="s">
        <v>478</v>
      </c>
      <c r="U118" s="8" t="s">
        <v>473</v>
      </c>
      <c r="V118" s="8" t="s">
        <v>457</v>
      </c>
      <c r="W118" s="8" t="s">
        <v>163</v>
      </c>
      <c r="X118" s="8" t="s">
        <v>163</v>
      </c>
      <c r="Y118" s="8" t="s">
        <v>163</v>
      </c>
      <c r="Z118" s="8"/>
      <c r="AA118" s="8"/>
      <c r="AB118" s="8"/>
      <c r="AC118" s="8" t="s">
        <v>163</v>
      </c>
      <c r="AD118" s="8" t="s">
        <v>163</v>
      </c>
      <c r="AE118" s="8" t="s">
        <v>163</v>
      </c>
      <c r="AF118" s="8" t="s">
        <v>163</v>
      </c>
      <c r="AG118" s="8" t="s">
        <v>163</v>
      </c>
      <c r="AH118" s="8"/>
      <c r="AI118" s="8" t="s">
        <v>163</v>
      </c>
      <c r="AJ118" s="8" t="s">
        <v>163</v>
      </c>
      <c r="AK118" s="8" t="s">
        <v>163</v>
      </c>
      <c r="AL118" s="8" t="s">
        <v>163</v>
      </c>
      <c r="AM118" s="8" t="s">
        <v>163</v>
      </c>
      <c r="AN118" s="8" t="s">
        <v>163</v>
      </c>
      <c r="AO118" s="8" t="s">
        <v>163</v>
      </c>
      <c r="AP118" s="8" t="s">
        <v>163</v>
      </c>
      <c r="AQ118" s="8" t="s">
        <v>163</v>
      </c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 t="s">
        <v>211</v>
      </c>
      <c r="BG118" s="7"/>
      <c r="BH118" s="8"/>
      <c r="BI118" s="8" t="s">
        <v>163</v>
      </c>
      <c r="BJ118" s="8"/>
      <c r="BK118" s="7">
        <v>45986.0</v>
      </c>
      <c r="BL118" s="8" t="s">
        <v>163</v>
      </c>
      <c r="BM118" s="8" t="s">
        <v>163</v>
      </c>
      <c r="BN118" s="8"/>
      <c r="BO118" s="8" t="s">
        <v>479</v>
      </c>
      <c r="BP118" s="8"/>
      <c r="BQ118" s="8"/>
      <c r="BR118" s="8"/>
      <c r="BS118" s="8"/>
      <c r="BT118" s="8"/>
      <c r="BU118" s="8"/>
      <c r="BV118" s="8"/>
      <c r="BW118" s="7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11"/>
      <c r="CQ118" s="8"/>
      <c r="CR118" s="8"/>
      <c r="CS118" s="8"/>
      <c r="CT118" s="8"/>
      <c r="CU118" s="8"/>
      <c r="CV118" s="11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11"/>
      <c r="DJ118" s="8"/>
      <c r="DK118" s="11"/>
      <c r="DL118" s="8"/>
      <c r="DM118" s="11"/>
      <c r="DN118" s="8"/>
      <c r="DO118" s="11"/>
      <c r="DP118" s="8" t="s">
        <v>163</v>
      </c>
      <c r="DQ118" s="8"/>
      <c r="DR118" s="11"/>
      <c r="DS118" s="8"/>
      <c r="DT118" s="11"/>
      <c r="DU118" s="8"/>
      <c r="DV118" s="11"/>
      <c r="DW118" s="8"/>
      <c r="DX118" s="11"/>
      <c r="DY118" s="8"/>
      <c r="DZ118" s="8"/>
      <c r="EA118" s="8"/>
      <c r="EB118" s="8"/>
      <c r="EC118" s="8"/>
      <c r="ED118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480</v>
      </c>
      <c r="B1" s="13" t="s">
        <v>481</v>
      </c>
      <c r="C1" s="13" t="s">
        <v>482</v>
      </c>
      <c r="D1" s="13" t="s">
        <v>483</v>
      </c>
      <c r="E1" s="13" t="s">
        <v>484</v>
      </c>
      <c r="F1" s="13" t="s">
        <v>485</v>
      </c>
      <c r="G1" s="13" t="s">
        <v>486</v>
      </c>
      <c r="H1" s="13" t="s">
        <v>487</v>
      </c>
      <c r="I1" s="13" t="s">
        <v>488</v>
      </c>
      <c r="J1" s="13" t="s">
        <v>489</v>
      </c>
      <c r="K1" s="13" t="s">
        <v>490</v>
      </c>
      <c r="L1" s="13" t="s">
        <v>491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481</v>
      </c>
      <c r="B1" s="13" t="s">
        <v>492</v>
      </c>
      <c r="C1" s="13" t="s">
        <v>483</v>
      </c>
      <c r="D1" s="13" t="s">
        <v>493</v>
      </c>
      <c r="E1" s="13" t="s">
        <v>494</v>
      </c>
      <c r="F1" s="13" t="s">
        <v>486</v>
      </c>
      <c r="G1" s="13" t="s">
        <v>488</v>
      </c>
    </row>
    <row r="2">
      <c r="A2" s="13" t="s">
        <v>495</v>
      </c>
      <c r="B2" s="13" t="s">
        <v>496</v>
      </c>
      <c r="C2" s="13" t="s">
        <v>195</v>
      </c>
      <c r="D2" s="13" t="s">
        <v>497</v>
      </c>
      <c r="E2" s="14">
        <v>45986.66322427083</v>
      </c>
      <c r="F2" s="15">
        <v>45986.6632793287</v>
      </c>
      <c r="G2" s="13" t="s">
        <v>498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3.63"/>
    <col customWidth="1" min="3" max="3" width="15.38"/>
    <col customWidth="1" min="4" max="4" width="13.5"/>
    <col customWidth="1" min="5" max="5" width="17.38"/>
    <col customWidth="1" min="6" max="6" width="19.0"/>
    <col customWidth="1" min="7" max="7" width="16.13"/>
    <col customWidth="1" min="8" max="8" width="16.63"/>
    <col customWidth="1" min="9" max="9" width="19.63"/>
    <col customWidth="1" min="10" max="10" width="13.75"/>
    <col customWidth="1" min="11" max="11" width="26.88"/>
    <col customWidth="1" min="12" max="12" width="14.75"/>
    <col customWidth="1" min="13" max="13" width="28.38"/>
    <col customWidth="1" min="14" max="14" width="31.88"/>
    <col customWidth="1" min="15" max="15" width="17.38"/>
    <col customWidth="1" min="16" max="16" width="16.13"/>
    <col customWidth="1" min="17" max="17" width="13.38"/>
    <col customWidth="1" min="18" max="18" width="24.75"/>
    <col customWidth="1" min="19" max="19" width="23.0"/>
    <col customWidth="1" min="20" max="20" width="15.25"/>
    <col customWidth="1" min="21" max="21" width="18.63"/>
    <col customWidth="1" min="22" max="22" width="23.38"/>
    <col customWidth="1" min="23" max="23" width="10.13"/>
    <col customWidth="1" min="24" max="24" width="22.38"/>
    <col customWidth="1" min="25" max="25" width="21.63"/>
    <col customWidth="1" min="26" max="26" width="15.25"/>
    <col customWidth="1" min="27" max="27" width="14.13"/>
    <col customWidth="1" min="28" max="28" width="21.0"/>
    <col customWidth="1" min="29" max="29" width="10.13"/>
    <col customWidth="1" min="30" max="30" width="19.75"/>
    <col customWidth="1" min="31" max="31" width="15.5"/>
    <col customWidth="1" min="32" max="32" width="17.0"/>
    <col hidden="1" min="33" max="34" width="12.63"/>
    <col customWidth="1" min="35" max="35" width="19.38"/>
  </cols>
  <sheetData>
    <row r="1" ht="22.5" customHeight="1">
      <c r="A1" s="16" t="s">
        <v>499</v>
      </c>
      <c r="B1" s="17" t="s">
        <v>13</v>
      </c>
      <c r="C1" s="18" t="s">
        <v>14</v>
      </c>
      <c r="D1" s="16" t="s">
        <v>15</v>
      </c>
      <c r="E1" s="18" t="s">
        <v>16</v>
      </c>
      <c r="F1" s="16" t="s">
        <v>17</v>
      </c>
      <c r="G1" s="17" t="s">
        <v>1</v>
      </c>
      <c r="H1" s="17" t="s">
        <v>48</v>
      </c>
      <c r="I1" s="16" t="s">
        <v>11</v>
      </c>
      <c r="J1" s="16" t="s">
        <v>8</v>
      </c>
      <c r="K1" s="16" t="s">
        <v>18</v>
      </c>
      <c r="L1" s="18" t="s">
        <v>500</v>
      </c>
      <c r="M1" s="16" t="s">
        <v>20</v>
      </c>
      <c r="N1" s="18" t="s">
        <v>501</v>
      </c>
      <c r="O1" s="17" t="s">
        <v>39</v>
      </c>
      <c r="P1" s="17" t="s">
        <v>502</v>
      </c>
      <c r="Q1" s="17" t="s">
        <v>23</v>
      </c>
      <c r="R1" s="17" t="s">
        <v>24</v>
      </c>
      <c r="S1" s="17" t="s">
        <v>59</v>
      </c>
      <c r="T1" s="17" t="s">
        <v>25</v>
      </c>
      <c r="U1" s="17" t="s">
        <v>26</v>
      </c>
      <c r="V1" s="17" t="s">
        <v>27</v>
      </c>
      <c r="W1" s="17" t="s">
        <v>28</v>
      </c>
      <c r="X1" s="17" t="s">
        <v>503</v>
      </c>
      <c r="Y1" s="17" t="s">
        <v>504</v>
      </c>
      <c r="Z1" s="17" t="s">
        <v>505</v>
      </c>
      <c r="AA1" s="17" t="s">
        <v>506</v>
      </c>
      <c r="AB1" s="17" t="s">
        <v>507</v>
      </c>
      <c r="AC1" s="17" t="s">
        <v>34</v>
      </c>
      <c r="AD1" s="17" t="s">
        <v>37</v>
      </c>
      <c r="AE1" s="17" t="s">
        <v>38</v>
      </c>
      <c r="AF1" s="17" t="s">
        <v>508</v>
      </c>
      <c r="AG1" s="17" t="s">
        <v>41</v>
      </c>
      <c r="AH1" s="17" t="s">
        <v>42</v>
      </c>
      <c r="AI1" s="17" t="s">
        <v>43</v>
      </c>
    </row>
    <row r="2" ht="22.5" customHeight="1">
      <c r="A2" s="19">
        <f>IFERROR(__xludf.DUMMYFUNCTION("FILTER('All Responses'!M:M, 'All Responses'!C:C = ""Completed"")"),2.5072906E8)</f>
        <v>250729060</v>
      </c>
      <c r="B2" s="19" t="str">
        <f>IFERROR(__xludf.DUMMYFUNCTION("FILTER('All Responses'!N:N, 'All Responses'!C:C = ""Completed"")"),"John")</f>
        <v>John</v>
      </c>
      <c r="C2" s="19" t="str">
        <f>IFERROR(__xludf.DUMMYFUNCTION("FILTER('All Responses'!O:O, 'All Responses'!C:C = ""Completed"")"),"JD")</f>
        <v>JD</v>
      </c>
      <c r="D2" s="19" t="str">
        <f>IFERROR(__xludf.DUMMYFUNCTION("FILTER('All Responses'!P:P, 'All Responses'!C:C = ""Completed"")"),"Doe")</f>
        <v>Doe</v>
      </c>
      <c r="E2" s="19" t="str">
        <f>IFERROR(__xludf.DUMMYFUNCTION("FILTER('All Responses'!Q:Q, 'All Responses'!C:C = ""Completed"")"),"JD")</f>
        <v>JD</v>
      </c>
      <c r="F2" s="19" t="str">
        <f>IFERROR(__xludf.DUMMYFUNCTION("FILTER('All Responses'!R:R, 'All Responses'!C:C = ""Completed"")"),"VP")</f>
        <v>VP</v>
      </c>
      <c r="G2" s="19" t="str">
        <f>IFERROR(__xludf.DUMMYFUNCTION("FILTER('All Responses'!CJ:CJ, 'All Responses'!C:C = ""Completed"")"),"")</f>
        <v/>
      </c>
      <c r="H2" s="19">
        <f>IFERROR(__xludf.DUMMYFUNCTION("FILTER('All Responses'!CL:CL, 'All Responses'!C:C = ""Completed"")"),123.0)</f>
        <v>123</v>
      </c>
      <c r="I2" s="19" t="str">
        <f>IFERROR(__xludf.DUMMYFUNCTION("FILTER('All Responses'!L:L, 'All Responses'!C:C = ""Completed"")"),"Hourly")</f>
        <v>Hourly</v>
      </c>
      <c r="J2" s="20" t="str">
        <f>IFERROR(__xludf.DUMMYFUNCTION("FILTER('All Responses'!I:I, 'All Responses'!C:C = ""Completed"")"),"")</f>
        <v/>
      </c>
      <c r="K2" s="19" t="str">
        <f>IFERROR(__xludf.DUMMYFUNCTION("FILTER('All Responses'!S:S, 'All Responses'!C:C = ""Completed"")"),"Decostar")</f>
        <v>Decostar</v>
      </c>
      <c r="L2" s="19" t="str">
        <f>IFERROR(__xludf.DUMMYFUNCTION("FILTER('All Responses'!T:T, 'All Responses'!C:C = ""Completed"")"),"TEST3")</f>
        <v>TEST3</v>
      </c>
      <c r="M2" s="19" t="str">
        <f>IFERROR(__xludf.DUMMYFUNCTION("FILTER('All Responses'!U:U, 'All Responses'!C:C = ""Completed"")"),"VS")</f>
        <v>VS</v>
      </c>
      <c r="N2" s="19" t="str">
        <f>IFERROR(__xludf.DUMMYFUNCTION("FILTER('All Responses'!V:V, 'All Responses'!C:C = ""Completed"")"),"Vishal.srikanth@team-group.com")</f>
        <v>Vishal.srikanth@team-group.com</v>
      </c>
      <c r="O2" s="19" t="str">
        <f>IFERROR(__xludf.DUMMYFUNCTION("FILTER('All Responses'!AN:AN, 'All Responses'!C:C = ""Completed"")"),"Required")</f>
        <v>Required</v>
      </c>
      <c r="P2" s="19" t="str">
        <f>IFERROR(__xludf.DUMMYFUNCTION("FILTER('All Responses'!W:W, 'All Responses'!C:C = ""Completed"")"),"")</f>
        <v/>
      </c>
      <c r="Q2" s="19" t="str">
        <f>IFERROR(__xludf.DUMMYFUNCTION("FILTER('All Responses'!X:X, 'All Responses'!C:C = ""Completed"")"),"")</f>
        <v/>
      </c>
      <c r="R2" s="19" t="str">
        <f>IFERROR(__xludf.DUMMYFUNCTION("FILTER('All Responses'!Y:Y, 'All Responses'!C:C = ""Completed"")"),"")</f>
        <v/>
      </c>
      <c r="S2" s="19" t="str">
        <f>IFERROR(__xludf.DUMMYFUNCTION("FILTER('All Responses'!BH:BH, 'All Responses'!C:C = ""Completed"")"),"")</f>
        <v/>
      </c>
      <c r="T2" s="19" t="str">
        <f>IFERROR(__xludf.DUMMYFUNCTION("FILTER('All Responses'!Z:Z, 'All Responses'!C:C = ""Completed"")"),"")</f>
        <v/>
      </c>
      <c r="U2" s="19" t="str">
        <f>IFERROR(__xludf.DUMMYFUNCTION("FILTER('All Responses'!AA:AA, 'All Responses'!C:C = ""Completed"")"),"")</f>
        <v/>
      </c>
      <c r="V2" s="19" t="str">
        <f>IFERROR(__xludf.DUMMYFUNCTION("FILTER('All Responses'!AB:AB, 'All Responses'!C:C = ""Completed"")"),"")</f>
        <v/>
      </c>
      <c r="W2" s="19" t="str">
        <f>IFERROR(__xludf.DUMMYFUNCTION("FILTER('All Responses'!AC:AC, 'All Responses'!C:C = ""Completed"")"),"")</f>
        <v/>
      </c>
      <c r="X2" s="19" t="str">
        <f>IFERROR(__xludf.DUMMYFUNCTION("FILTER('All Responses'!AD:AD, 'All Responses'!C:C = ""Completed"")"),"")</f>
        <v/>
      </c>
      <c r="Y2" s="19" t="str">
        <f>IFERROR(__xludf.DUMMYFUNCTION("FILTER('All Responses'!AE:AE, 'All Responses'!C:C = ""Completed"")"),"")</f>
        <v/>
      </c>
      <c r="Z2" s="19" t="str">
        <f>IFERROR(__xludf.DUMMYFUNCTION("FILTER('All Responses'!AF:AF, 'All Responses'!C:C = ""Completed"")"),"")</f>
        <v/>
      </c>
      <c r="AA2" s="19" t="str">
        <f>IFERROR(__xludf.DUMMYFUNCTION("FILTER('All Responses'!AG:AG, 'All Responses'!C:C = ""Completed"")"),"")</f>
        <v/>
      </c>
      <c r="AB2" s="19" t="str">
        <f>IFERROR(__xludf.DUMMYFUNCTION("FILTER('All Responses'!AH:AH, 'All Responses'!C:C = ""Completed"")"),"")</f>
        <v/>
      </c>
      <c r="AC2" s="19" t="str">
        <f>IFERROR(__xludf.DUMMYFUNCTION("FILTER('All Responses'!AI:AI, 'All Responses'!C:C = ""Completed"")"),"")</f>
        <v/>
      </c>
      <c r="AD2" s="19" t="str">
        <f>IFERROR(__xludf.DUMMYFUNCTION("FILTER('All Responses'!AL:AL, 'All Responses'!C:C = ""Completed"")"),"")</f>
        <v/>
      </c>
      <c r="AE2" s="19" t="str">
        <f>IFERROR(__xludf.DUMMYFUNCTION("FILTER('All Responses'!AM:AM, 'All Responses'!C:C = ""Completed"")"),"")</f>
        <v/>
      </c>
      <c r="AF2" s="19" t="str">
        <f>IFERROR(__xludf.DUMMYFUNCTION("FILTER('All Responses'!AO:AO, 'All Responses'!C:C = ""Completed"")"),"")</f>
        <v/>
      </c>
      <c r="AG2" s="19" t="str">
        <f>IFERROR(__xludf.DUMMYFUNCTION("FILTER('All Responses'!AP:AP, 'All Responses'!C:C = ""Completed"")"),"Required")</f>
        <v>Required</v>
      </c>
      <c r="AH2" s="19" t="str">
        <f>IFERROR(__xludf.DUMMYFUNCTION("FILTER('All Responses'!AQ:AQ, 'All Responses'!C:C = ""Completed"")"),"Required")</f>
        <v>Required</v>
      </c>
      <c r="AI2" s="19" t="str">
        <f>IFERROR(__xludf.DUMMYFUNCTION("FILTER('All Responses'!AR:AR, 'All Responses'!C:C = ""Completed"")"),"")</f>
        <v/>
      </c>
    </row>
    <row r="3" ht="22.5" customHeight="1">
      <c r="A3" s="19">
        <f>IFERROR(__xludf.DUMMYFUNCTION("""COMPUTED_VALUE"""),2.50729062E8)</f>
        <v>250729062</v>
      </c>
      <c r="B3" s="19" t="str">
        <f>IFERROR(__xludf.DUMMYFUNCTION("""COMPUTED_VALUE"""),"John")</f>
        <v>John</v>
      </c>
      <c r="C3" s="19" t="str">
        <f>IFERROR(__xludf.DUMMYFUNCTION("""COMPUTED_VALUE"""),"z")</f>
        <v>z</v>
      </c>
      <c r="D3" s="19" t="str">
        <f>IFERROR(__xludf.DUMMYFUNCTION("""COMPUTED_VALUE"""),"Doe")</f>
        <v>Doe</v>
      </c>
      <c r="E3" s="19" t="str">
        <f>IFERROR(__xludf.DUMMYFUNCTION("""COMPUTED_VALUE"""),"JZ")</f>
        <v>JZ</v>
      </c>
      <c r="F3" s="19" t="str">
        <f>IFERROR(__xludf.DUMMYFUNCTION("""COMPUTED_VALUE"""),"VP")</f>
        <v>VP</v>
      </c>
      <c r="G3" s="19"/>
      <c r="H3" s="19"/>
      <c r="I3" s="19" t="str">
        <f>IFERROR(__xludf.DUMMYFUNCTION("""COMPUTED_VALUE"""),"Hourly")</f>
        <v>Hourly</v>
      </c>
      <c r="J3" s="20">
        <f>IFERROR(__xludf.DUMMYFUNCTION("""COMPUTED_VALUE"""),45875.0)</f>
        <v>45875</v>
      </c>
      <c r="K3" s="19" t="str">
        <f>IFERROR(__xludf.DUMMYFUNCTION("""COMPUTED_VALUE"""),"Etobicote")</f>
        <v>Etobicote</v>
      </c>
      <c r="L3" s="19" t="str">
        <f>IFERROR(__xludf.DUMMYFUNCTION("""COMPUTED_VALUE"""),"TEST5")</f>
        <v>TEST5</v>
      </c>
      <c r="M3" s="19" t="str">
        <f>IFERROR(__xludf.DUMMYFUNCTION("""COMPUTED_VALUE"""),"Jane Doe")</f>
        <v>Jane Doe</v>
      </c>
      <c r="N3" s="19" t="str">
        <f>IFERROR(__xludf.DUMMYFUNCTION("""COMPUTED_VALUE"""),"Vishal.srikanth@team-group.com")</f>
        <v>Vishal.srikanth@team-group.com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ht="22.5" customHeight="1">
      <c r="A4" s="19">
        <f>IFERROR(__xludf.DUMMYFUNCTION("""COMPUTED_VALUE"""),2.50729063E8)</f>
        <v>250729063</v>
      </c>
      <c r="B4" s="19" t="str">
        <f>IFERROR(__xludf.DUMMYFUNCTION("""COMPUTED_VALUE"""),"John")</f>
        <v>John</v>
      </c>
      <c r="C4" s="19" t="str">
        <f>IFERROR(__xludf.DUMMYFUNCTION("""COMPUTED_VALUE"""),"JD")</f>
        <v>JD</v>
      </c>
      <c r="D4" s="19" t="str">
        <f>IFERROR(__xludf.DUMMYFUNCTION("""COMPUTED_VALUE"""),"Doe")</f>
        <v>Doe</v>
      </c>
      <c r="E4" s="19" t="str">
        <f>IFERROR(__xludf.DUMMYFUNCTION("""COMPUTED_VALUE"""),"JD")</f>
        <v>JD</v>
      </c>
      <c r="F4" s="19" t="str">
        <f>IFERROR(__xludf.DUMMYFUNCTION("""COMPUTED_VALUE"""),"VP")</f>
        <v>VP</v>
      </c>
      <c r="G4" s="19" t="str">
        <f>IFERROR(__xludf.DUMMYFUNCTION("""COMPUTED_VALUE"""),"email")</f>
        <v>email</v>
      </c>
      <c r="H4" s="19">
        <f>IFERROR(__xludf.DUMMYFUNCTION("""COMPUTED_VALUE"""),123.0)</f>
        <v>123</v>
      </c>
      <c r="I4" s="19" t="str">
        <f>IFERROR(__xludf.DUMMYFUNCTION("""COMPUTED_VALUE"""),"Hourly")</f>
        <v>Hourly</v>
      </c>
      <c r="J4" s="20">
        <f>IFERROR(__xludf.DUMMYFUNCTION("""COMPUTED_VALUE"""),45876.0)</f>
        <v>45876</v>
      </c>
      <c r="K4" s="19" t="str">
        <f>IFERROR(__xludf.DUMMYFUNCTION("""COMPUTED_VALUE"""),"Decostar")</f>
        <v>Decostar</v>
      </c>
      <c r="L4" s="19" t="str">
        <f>IFERROR(__xludf.DUMMYFUNCTION("""COMPUTED_VALUE"""),"TEST3")</f>
        <v>TEST3</v>
      </c>
      <c r="M4" s="19" t="str">
        <f>IFERROR(__xludf.DUMMYFUNCTION("""COMPUTED_VALUE"""),"Jane Doe")</f>
        <v>Jane Doe</v>
      </c>
      <c r="N4" s="19" t="str">
        <f>IFERROR(__xludf.DUMMYFUNCTION("""COMPUTED_VALUE"""),"Vishal.srikanth@team-group.com")</f>
        <v>Vishal.srikanth@team-group.com</v>
      </c>
      <c r="O4" s="19" t="str">
        <f>IFERROR(__xludf.DUMMYFUNCTION("""COMPUTED_VALUE"""),"Required")</f>
        <v>Required</v>
      </c>
      <c r="P4" s="19" t="str">
        <f>IFERROR(__xludf.DUMMYFUNCTION("""COMPUTED_VALUE"""),"Required")</f>
        <v>Required</v>
      </c>
      <c r="Q4" s="19" t="str">
        <f>IFERROR(__xludf.DUMMYFUNCTION("""COMPUTED_VALUE"""),"Required")</f>
        <v>Required</v>
      </c>
      <c r="R4" s="19" t="str">
        <f>IFERROR(__xludf.DUMMYFUNCTION("""COMPUTED_VALUE"""),"Required")</f>
        <v>Required</v>
      </c>
      <c r="S4" s="19" t="str">
        <f>IFERROR(__xludf.DUMMYFUNCTION("""COMPUTED_VALUE"""),"Required")</f>
        <v>Required</v>
      </c>
      <c r="T4" s="19" t="str">
        <f>IFERROR(__xludf.DUMMYFUNCTION("""COMPUTED_VALUE"""),"Required")</f>
        <v>Required</v>
      </c>
      <c r="U4" s="19" t="str">
        <f>IFERROR(__xludf.DUMMYFUNCTION("""COMPUTED_VALUE"""),"Required")</f>
        <v>Required</v>
      </c>
      <c r="V4" s="19" t="str">
        <f>IFERROR(__xludf.DUMMYFUNCTION("""COMPUTED_VALUE"""),"Required")</f>
        <v>Required</v>
      </c>
      <c r="W4" s="19" t="str">
        <f>IFERROR(__xludf.DUMMYFUNCTION("""COMPUTED_VALUE"""),"Required")</f>
        <v>Required</v>
      </c>
      <c r="X4" s="19" t="str">
        <f>IFERROR(__xludf.DUMMYFUNCTION("""COMPUTED_VALUE"""),"Required")</f>
        <v>Required</v>
      </c>
      <c r="Y4" s="19" t="str">
        <f>IFERROR(__xludf.DUMMYFUNCTION("""COMPUTED_VALUE"""),"Required")</f>
        <v>Required</v>
      </c>
      <c r="Z4" s="19" t="str">
        <f>IFERROR(__xludf.DUMMYFUNCTION("""COMPUTED_VALUE"""),"Required")</f>
        <v>Required</v>
      </c>
      <c r="AA4" s="19" t="str">
        <f>IFERROR(__xludf.DUMMYFUNCTION("""COMPUTED_VALUE"""),"Required")</f>
        <v>Required</v>
      </c>
      <c r="AB4" s="19" t="str">
        <f>IFERROR(__xludf.DUMMYFUNCTION("""COMPUTED_VALUE"""),"Required")</f>
        <v>Required</v>
      </c>
      <c r="AC4" s="19" t="str">
        <f>IFERROR(__xludf.DUMMYFUNCTION("""COMPUTED_VALUE"""),"Required")</f>
        <v>Required</v>
      </c>
      <c r="AD4" s="19" t="str">
        <f>IFERROR(__xludf.DUMMYFUNCTION("""COMPUTED_VALUE"""),"Required")</f>
        <v>Required</v>
      </c>
      <c r="AE4" s="19" t="str">
        <f>IFERROR(__xludf.DUMMYFUNCTION("""COMPUTED_VALUE"""),"Required")</f>
        <v>Required</v>
      </c>
      <c r="AF4" s="19" t="str">
        <f>IFERROR(__xludf.DUMMYFUNCTION("""COMPUTED_VALUE"""),"Required")</f>
        <v>Required</v>
      </c>
      <c r="AG4" s="19" t="str">
        <f>IFERROR(__xludf.DUMMYFUNCTION("""COMPUTED_VALUE"""),"Required")</f>
        <v>Required</v>
      </c>
      <c r="AH4" s="19" t="str">
        <f>IFERROR(__xludf.DUMMYFUNCTION("""COMPUTED_VALUE"""),"Required")</f>
        <v>Required</v>
      </c>
      <c r="AI4" s="19" t="str">
        <f>IFERROR(__xludf.DUMMYFUNCTION("""COMPUTED_VALUE"""),"Required")</f>
        <v>Required</v>
      </c>
    </row>
    <row r="5" ht="22.5" customHeight="1">
      <c r="A5" s="19">
        <f>IFERROR(__xludf.DUMMYFUNCTION("""COMPUTED_VALUE"""),2.50729064E8)</f>
        <v>250729064</v>
      </c>
      <c r="B5" s="19" t="str">
        <f>IFERROR(__xludf.DUMMYFUNCTION("""COMPUTED_VALUE"""),"John")</f>
        <v>John</v>
      </c>
      <c r="C5" s="19" t="str">
        <f>IFERROR(__xludf.DUMMYFUNCTION("""COMPUTED_VALUE"""),"JD")</f>
        <v>JD</v>
      </c>
      <c r="D5" s="19" t="str">
        <f>IFERROR(__xludf.DUMMYFUNCTION("""COMPUTED_VALUE"""),"Doe")</f>
        <v>Doe</v>
      </c>
      <c r="E5" s="19" t="str">
        <f>IFERROR(__xludf.DUMMYFUNCTION("""COMPUTED_VALUE"""),"JD")</f>
        <v>JD</v>
      </c>
      <c r="F5" s="19" t="str">
        <f>IFERROR(__xludf.DUMMYFUNCTION("""COMPUTED_VALUE"""),"VP")</f>
        <v>VP</v>
      </c>
      <c r="G5" s="19"/>
      <c r="H5" s="19">
        <f>IFERROR(__xludf.DUMMYFUNCTION("""COMPUTED_VALUE"""),123.0)</f>
        <v>123</v>
      </c>
      <c r="I5" s="19" t="str">
        <f>IFERROR(__xludf.DUMMYFUNCTION("""COMPUTED_VALUE"""),"Salary")</f>
        <v>Salary</v>
      </c>
      <c r="J5" s="20">
        <f>IFERROR(__xludf.DUMMYFUNCTION("""COMPUTED_VALUE"""),45875.0)</f>
        <v>45875</v>
      </c>
      <c r="K5" s="19" t="str">
        <f>IFERROR(__xludf.DUMMYFUNCTION("""COMPUTED_VALUE"""),"Etobicote")</f>
        <v>Etobicote</v>
      </c>
      <c r="L5" s="19" t="str">
        <f>IFERROR(__xludf.DUMMYFUNCTION("""COMPUTED_VALUE"""),"TEST5")</f>
        <v>TEST5</v>
      </c>
      <c r="M5" s="19" t="str">
        <f>IFERROR(__xludf.DUMMYFUNCTION("""COMPUTED_VALUE"""),"Jane Doe")</f>
        <v>Jane Doe</v>
      </c>
      <c r="N5" s="19" t="str">
        <f>IFERROR(__xludf.DUMMYFUNCTION("""COMPUTED_VALUE"""),"Vishal.srikanth@team-group.com")</f>
        <v>Vishal.srikanth@team-group.com</v>
      </c>
      <c r="O5" s="19" t="str">
        <f>IFERROR(__xludf.DUMMYFUNCTION("""COMPUTED_VALUE"""),"Required")</f>
        <v>Required</v>
      </c>
      <c r="P5" s="19" t="str">
        <f>IFERROR(__xludf.DUMMYFUNCTION("""COMPUTED_VALUE"""),"Required")</f>
        <v>Required</v>
      </c>
      <c r="Q5" s="19" t="str">
        <f>IFERROR(__xludf.DUMMYFUNCTION("""COMPUTED_VALUE"""),"Required")</f>
        <v>Required</v>
      </c>
      <c r="R5" s="19" t="str">
        <f>IFERROR(__xludf.DUMMYFUNCTION("""COMPUTED_VALUE"""),"Required")</f>
        <v>Required</v>
      </c>
      <c r="S5" s="19" t="str">
        <f>IFERROR(__xludf.DUMMYFUNCTION("""COMPUTED_VALUE"""),"Required")</f>
        <v>Required</v>
      </c>
      <c r="T5" s="19" t="str">
        <f>IFERROR(__xludf.DUMMYFUNCTION("""COMPUTED_VALUE"""),"Required")</f>
        <v>Required</v>
      </c>
      <c r="U5" s="19" t="str">
        <f>IFERROR(__xludf.DUMMYFUNCTION("""COMPUTED_VALUE"""),"Required")</f>
        <v>Required</v>
      </c>
      <c r="V5" s="19" t="str">
        <f>IFERROR(__xludf.DUMMYFUNCTION("""COMPUTED_VALUE"""),"Required")</f>
        <v>Required</v>
      </c>
      <c r="W5" s="19" t="str">
        <f>IFERROR(__xludf.DUMMYFUNCTION("""COMPUTED_VALUE"""),"Required")</f>
        <v>Required</v>
      </c>
      <c r="X5" s="19" t="str">
        <f>IFERROR(__xludf.DUMMYFUNCTION("""COMPUTED_VALUE"""),"Required")</f>
        <v>Required</v>
      </c>
      <c r="Y5" s="19" t="str">
        <f>IFERROR(__xludf.DUMMYFUNCTION("""COMPUTED_VALUE"""),"Required")</f>
        <v>Required</v>
      </c>
      <c r="Z5" s="19" t="str">
        <f>IFERROR(__xludf.DUMMYFUNCTION("""COMPUTED_VALUE"""),"Required")</f>
        <v>Required</v>
      </c>
      <c r="AA5" s="19" t="str">
        <f>IFERROR(__xludf.DUMMYFUNCTION("""COMPUTED_VALUE"""),"Required")</f>
        <v>Required</v>
      </c>
      <c r="AB5" s="19" t="str">
        <f>IFERROR(__xludf.DUMMYFUNCTION("""COMPUTED_VALUE"""),"Required")</f>
        <v>Required</v>
      </c>
      <c r="AC5" s="19" t="str">
        <f>IFERROR(__xludf.DUMMYFUNCTION("""COMPUTED_VALUE"""),"Required")</f>
        <v>Required</v>
      </c>
      <c r="AD5" s="19" t="str">
        <f>IFERROR(__xludf.DUMMYFUNCTION("""COMPUTED_VALUE"""),"Required")</f>
        <v>Required</v>
      </c>
      <c r="AE5" s="19" t="str">
        <f>IFERROR(__xludf.DUMMYFUNCTION("""COMPUTED_VALUE"""),"Required")</f>
        <v>Required</v>
      </c>
      <c r="AF5" s="19" t="str">
        <f>IFERROR(__xludf.DUMMYFUNCTION("""COMPUTED_VALUE"""),"Required")</f>
        <v>Required</v>
      </c>
      <c r="AG5" s="19" t="str">
        <f>IFERROR(__xludf.DUMMYFUNCTION("""COMPUTED_VALUE"""),"Required")</f>
        <v>Required</v>
      </c>
      <c r="AH5" s="19" t="str">
        <f>IFERROR(__xludf.DUMMYFUNCTION("""COMPUTED_VALUE"""),"Required")</f>
        <v>Required</v>
      </c>
      <c r="AI5" s="19" t="str">
        <f>IFERROR(__xludf.DUMMYFUNCTION("""COMPUTED_VALUE"""),"Required")</f>
        <v>Required</v>
      </c>
    </row>
    <row r="6" ht="22.5" customHeight="1">
      <c r="A6" s="19">
        <f>IFERROR(__xludf.DUMMYFUNCTION("""COMPUTED_VALUE"""),2.50729065E8)</f>
        <v>250729065</v>
      </c>
      <c r="B6" s="19" t="str">
        <f>IFERROR(__xludf.DUMMYFUNCTION("""COMPUTED_VALUE"""),"John")</f>
        <v>John</v>
      </c>
      <c r="C6" s="19" t="str">
        <f>IFERROR(__xludf.DUMMYFUNCTION("""COMPUTED_VALUE"""),"JD")</f>
        <v>JD</v>
      </c>
      <c r="D6" s="19" t="str">
        <f>IFERROR(__xludf.DUMMYFUNCTION("""COMPUTED_VALUE"""),"Doe")</f>
        <v>Doe</v>
      </c>
      <c r="E6" s="19" t="str">
        <f>IFERROR(__xludf.DUMMYFUNCTION("""COMPUTED_VALUE"""),"JD")</f>
        <v>JD</v>
      </c>
      <c r="F6" s="19" t="str">
        <f>IFERROR(__xludf.DUMMYFUNCTION("""COMPUTED_VALUE"""),"VP")</f>
        <v>VP</v>
      </c>
      <c r="G6" s="19"/>
      <c r="H6" s="19">
        <f>IFERROR(__xludf.DUMMYFUNCTION("""COMPUTED_VALUE"""),123.0)</f>
        <v>123</v>
      </c>
      <c r="I6" s="19" t="str">
        <f>IFERROR(__xludf.DUMMYFUNCTION("""COMPUTED_VALUE"""),"Salary")</f>
        <v>Salary</v>
      </c>
      <c r="J6" s="20">
        <f>IFERROR(__xludf.DUMMYFUNCTION("""COMPUTED_VALUE"""),45875.0)</f>
        <v>45875</v>
      </c>
      <c r="K6" s="19" t="str">
        <f>IFERROR(__xludf.DUMMYFUNCTION("""COMPUTED_VALUE"""),"Etobicote")</f>
        <v>Etobicote</v>
      </c>
      <c r="L6" s="19" t="str">
        <f>IFERROR(__xludf.DUMMYFUNCTION("""COMPUTED_VALUE"""),"TEST5")</f>
        <v>TEST5</v>
      </c>
      <c r="M6" s="19" t="str">
        <f>IFERROR(__xludf.DUMMYFUNCTION("""COMPUTED_VALUE"""),"VS")</f>
        <v>VS</v>
      </c>
      <c r="N6" s="19" t="str">
        <f>IFERROR(__xludf.DUMMYFUNCTION("""COMPUTED_VALUE"""),"Vishal.srikanth@team-group.com")</f>
        <v>Vishal.srikanth@team-group.com</v>
      </c>
      <c r="O6" s="19" t="str">
        <f>IFERROR(__xludf.DUMMYFUNCTION("""COMPUTED_VALUE"""),"Required")</f>
        <v>Required</v>
      </c>
      <c r="P6" s="19" t="str">
        <f>IFERROR(__xludf.DUMMYFUNCTION("""COMPUTED_VALUE"""),"Required")</f>
        <v>Required</v>
      </c>
      <c r="Q6" s="19" t="str">
        <f>IFERROR(__xludf.DUMMYFUNCTION("""COMPUTED_VALUE"""),"Required")</f>
        <v>Required</v>
      </c>
      <c r="R6" s="19" t="str">
        <f>IFERROR(__xludf.DUMMYFUNCTION("""COMPUTED_VALUE"""),"Required")</f>
        <v>Required</v>
      </c>
      <c r="S6" s="19" t="str">
        <f>IFERROR(__xludf.DUMMYFUNCTION("""COMPUTED_VALUE"""),"Required")</f>
        <v>Required</v>
      </c>
      <c r="T6" s="19" t="str">
        <f>IFERROR(__xludf.DUMMYFUNCTION("""COMPUTED_VALUE"""),"Required")</f>
        <v>Required</v>
      </c>
      <c r="U6" s="19"/>
      <c r="V6" s="19"/>
      <c r="W6" s="19"/>
      <c r="X6" s="19"/>
      <c r="Y6" s="19"/>
      <c r="Z6" s="19" t="str">
        <f>IFERROR(__xludf.DUMMYFUNCTION("""COMPUTED_VALUE"""),"Required")</f>
        <v>Required</v>
      </c>
      <c r="AA6" s="19"/>
      <c r="AB6" s="19"/>
      <c r="AC6" s="19"/>
      <c r="AD6" s="19"/>
      <c r="AE6" s="19"/>
      <c r="AF6" s="19"/>
      <c r="AG6" s="19" t="str">
        <f>IFERROR(__xludf.DUMMYFUNCTION("""COMPUTED_VALUE"""),"Required")</f>
        <v>Required</v>
      </c>
      <c r="AH6" s="19" t="str">
        <f>IFERROR(__xludf.DUMMYFUNCTION("""COMPUTED_VALUE"""),"Required")</f>
        <v>Required</v>
      </c>
      <c r="AI6" s="19"/>
    </row>
    <row r="7" ht="22.5" customHeight="1">
      <c r="A7" s="19">
        <f>IFERROR(__xludf.DUMMYFUNCTION("""COMPUTED_VALUE"""),2.50729066E8)</f>
        <v>250729066</v>
      </c>
      <c r="B7" s="19" t="str">
        <f>IFERROR(__xludf.DUMMYFUNCTION("""COMPUTED_VALUE"""),"John")</f>
        <v>John</v>
      </c>
      <c r="C7" s="19" t="str">
        <f>IFERROR(__xludf.DUMMYFUNCTION("""COMPUTED_VALUE"""),"JD")</f>
        <v>JD</v>
      </c>
      <c r="D7" s="19" t="str">
        <f>IFERROR(__xludf.DUMMYFUNCTION("""COMPUTED_VALUE"""),"Doe")</f>
        <v>Doe</v>
      </c>
      <c r="E7" s="19" t="str">
        <f>IFERROR(__xludf.DUMMYFUNCTION("""COMPUTED_VALUE"""),"JD")</f>
        <v>JD</v>
      </c>
      <c r="F7" s="19" t="str">
        <f>IFERROR(__xludf.DUMMYFUNCTION("""COMPUTED_VALUE"""),"VP")</f>
        <v>VP</v>
      </c>
      <c r="G7" s="19"/>
      <c r="H7" s="19"/>
      <c r="I7" s="19" t="str">
        <f>IFERROR(__xludf.DUMMYFUNCTION("""COMPUTED_VALUE"""),"Hourly")</f>
        <v>Hourly</v>
      </c>
      <c r="J7" s="20">
        <f>IFERROR(__xludf.DUMMYFUNCTION("""COMPUTED_VALUE"""),45875.0)</f>
        <v>45875</v>
      </c>
      <c r="K7" s="19" t="str">
        <f>IFERROR(__xludf.DUMMYFUNCTION("""COMPUTED_VALUE"""),"Edmonton")</f>
        <v>Edmonton</v>
      </c>
      <c r="L7" s="19" t="str">
        <f>IFERROR(__xludf.DUMMYFUNCTION("""COMPUTED_VALUE"""),"TEST4")</f>
        <v>TEST4</v>
      </c>
      <c r="M7" s="19" t="str">
        <f>IFERROR(__xludf.DUMMYFUNCTION("""COMPUTED_VALUE"""),"Jane Doe")</f>
        <v>Jane Doe</v>
      </c>
      <c r="N7" s="19"/>
      <c r="O7" s="19" t="str">
        <f>IFERROR(__xludf.DUMMYFUNCTION("""COMPUTED_VALUE"""),"Required")</f>
        <v>Required</v>
      </c>
      <c r="P7" s="19"/>
      <c r="Q7" s="19"/>
      <c r="R7" s="19"/>
      <c r="S7" s="19" t="str">
        <f>IFERROR(__xludf.DUMMYFUNCTION("""COMPUTED_VALUE"""),"Required")</f>
        <v>Required</v>
      </c>
      <c r="T7" s="19" t="str">
        <f>IFERROR(__xludf.DUMMYFUNCTION("""COMPUTED_VALUE"""),"Required")</f>
        <v>Required</v>
      </c>
      <c r="U7" s="19" t="str">
        <f>IFERROR(__xludf.DUMMYFUNCTION("""COMPUTED_VALUE"""),"Required")</f>
        <v>Required</v>
      </c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 t="str">
        <f>IFERROR(__xludf.DUMMYFUNCTION("""COMPUTED_VALUE"""),"Required")</f>
        <v>Required</v>
      </c>
      <c r="AG7" s="19"/>
      <c r="AH7" s="19" t="str">
        <f>IFERROR(__xludf.DUMMYFUNCTION("""COMPUTED_VALUE"""),"Required")</f>
        <v>Required</v>
      </c>
      <c r="AI7" s="19"/>
    </row>
    <row r="8" ht="22.5" customHeight="1">
      <c r="A8" s="19">
        <f>IFERROR(__xludf.DUMMYFUNCTION("""COMPUTED_VALUE"""),2.50730001E8)</f>
        <v>250730001</v>
      </c>
      <c r="B8" s="19" t="str">
        <f>IFERROR(__xludf.DUMMYFUNCTION("""COMPUTED_VALUE"""),"John")</f>
        <v>John</v>
      </c>
      <c r="C8" s="19" t="str">
        <f>IFERROR(__xludf.DUMMYFUNCTION("""COMPUTED_VALUE"""),"JD")</f>
        <v>JD</v>
      </c>
      <c r="D8" s="19" t="str">
        <f>IFERROR(__xludf.DUMMYFUNCTION("""COMPUTED_VALUE"""),"Doe")</f>
        <v>Doe</v>
      </c>
      <c r="E8" s="19" t="str">
        <f>IFERROR(__xludf.DUMMYFUNCTION("""COMPUTED_VALUE"""),"JD")</f>
        <v>JD</v>
      </c>
      <c r="F8" s="19" t="str">
        <f>IFERROR(__xludf.DUMMYFUNCTION("""COMPUTED_VALUE"""),"VP")</f>
        <v>VP</v>
      </c>
      <c r="G8" s="19"/>
      <c r="H8" s="19">
        <f>IFERROR(__xludf.DUMMYFUNCTION("""COMPUTED_VALUE"""),123.0)</f>
        <v>123</v>
      </c>
      <c r="I8" s="19" t="str">
        <f>IFERROR(__xludf.DUMMYFUNCTION("""COMPUTED_VALUE"""),"Salary")</f>
        <v>Salary</v>
      </c>
      <c r="J8" s="20">
        <f>IFERROR(__xludf.DUMMYFUNCTION("""COMPUTED_VALUE"""),45876.0)</f>
        <v>45876</v>
      </c>
      <c r="K8" s="19" t="str">
        <f>IFERROR(__xludf.DUMMYFUNCTION("""COMPUTED_VALUE"""),"Bluebird")</f>
        <v>Bluebird</v>
      </c>
      <c r="L8" s="19" t="str">
        <f>IFERROR(__xludf.DUMMYFUNCTION("""COMPUTED_VALUE"""),"TEST1")</f>
        <v>TEST1</v>
      </c>
      <c r="M8" s="19" t="str">
        <f>IFERROR(__xludf.DUMMYFUNCTION("""COMPUTED_VALUE"""),"Jane Doe")</f>
        <v>Jane Doe</v>
      </c>
      <c r="N8" s="19" t="str">
        <f>IFERROR(__xludf.DUMMYFUNCTION("""COMPUTED_VALUE"""),"Vishal.srikanth@team-group.com")</f>
        <v>Vishal.srikanth@team-group.com</v>
      </c>
      <c r="O8" s="19" t="str">
        <f>IFERROR(__xludf.DUMMYFUNCTION("""COMPUTED_VALUE"""),"Required")</f>
        <v>Required</v>
      </c>
      <c r="P8" s="19" t="str">
        <f>IFERROR(__xludf.DUMMYFUNCTION("""COMPUTED_VALUE"""),"Required")</f>
        <v>Required</v>
      </c>
      <c r="Q8" s="19" t="str">
        <f>IFERROR(__xludf.DUMMYFUNCTION("""COMPUTED_VALUE"""),"Required")</f>
        <v>Required</v>
      </c>
      <c r="R8" s="19" t="str">
        <f>IFERROR(__xludf.DUMMYFUNCTION("""COMPUTED_VALUE"""),"Required")</f>
        <v>Required</v>
      </c>
      <c r="S8" s="19" t="str">
        <f>IFERROR(__xludf.DUMMYFUNCTION("""COMPUTED_VALUE"""),"Required")</f>
        <v>Required</v>
      </c>
      <c r="T8" s="19" t="str">
        <f>IFERROR(__xludf.DUMMYFUNCTION("""COMPUTED_VALUE"""),"Required")</f>
        <v>Required</v>
      </c>
      <c r="U8" s="19" t="str">
        <f>IFERROR(__xludf.DUMMYFUNCTION("""COMPUTED_VALUE"""),"Required")</f>
        <v>Required</v>
      </c>
      <c r="V8" s="19" t="str">
        <f>IFERROR(__xludf.DUMMYFUNCTION("""COMPUTED_VALUE"""),"Required")</f>
        <v>Required</v>
      </c>
      <c r="W8" s="19" t="str">
        <f>IFERROR(__xludf.DUMMYFUNCTION("""COMPUTED_VALUE"""),"Required")</f>
        <v>Required</v>
      </c>
      <c r="X8" s="19" t="str">
        <f>IFERROR(__xludf.DUMMYFUNCTION("""COMPUTED_VALUE"""),"Required")</f>
        <v>Required</v>
      </c>
      <c r="Y8" s="19" t="str">
        <f>IFERROR(__xludf.DUMMYFUNCTION("""COMPUTED_VALUE"""),"Required")</f>
        <v>Required</v>
      </c>
      <c r="Z8" s="19" t="str">
        <f>IFERROR(__xludf.DUMMYFUNCTION("""COMPUTED_VALUE"""),"Required")</f>
        <v>Required</v>
      </c>
      <c r="AA8" s="19" t="str">
        <f>IFERROR(__xludf.DUMMYFUNCTION("""COMPUTED_VALUE"""),"Required")</f>
        <v>Required</v>
      </c>
      <c r="AB8" s="19" t="str">
        <f>IFERROR(__xludf.DUMMYFUNCTION("""COMPUTED_VALUE"""),"Required")</f>
        <v>Required</v>
      </c>
      <c r="AC8" s="19" t="str">
        <f>IFERROR(__xludf.DUMMYFUNCTION("""COMPUTED_VALUE"""),"Required")</f>
        <v>Required</v>
      </c>
      <c r="AD8" s="19" t="str">
        <f>IFERROR(__xludf.DUMMYFUNCTION("""COMPUTED_VALUE"""),"Required")</f>
        <v>Required</v>
      </c>
      <c r="AE8" s="19" t="str">
        <f>IFERROR(__xludf.DUMMYFUNCTION("""COMPUTED_VALUE"""),"Required")</f>
        <v>Required</v>
      </c>
      <c r="AF8" s="19" t="str">
        <f>IFERROR(__xludf.DUMMYFUNCTION("""COMPUTED_VALUE"""),"Required")</f>
        <v>Required</v>
      </c>
      <c r="AG8" s="19" t="str">
        <f>IFERROR(__xludf.DUMMYFUNCTION("""COMPUTED_VALUE"""),"Required")</f>
        <v>Required</v>
      </c>
      <c r="AH8" s="19" t="str">
        <f>IFERROR(__xludf.DUMMYFUNCTION("""COMPUTED_VALUE"""),"Required")</f>
        <v>Required</v>
      </c>
      <c r="AI8" s="19" t="str">
        <f>IFERROR(__xludf.DUMMYFUNCTION("""COMPUTED_VALUE"""),"Required")</f>
        <v>Required</v>
      </c>
    </row>
    <row r="9" ht="22.5" customHeight="1">
      <c r="A9" s="19">
        <f>IFERROR(__xludf.DUMMYFUNCTION("""COMPUTED_VALUE"""),2.50730003E8)</f>
        <v>250730003</v>
      </c>
      <c r="B9" s="19" t="str">
        <f>IFERROR(__xludf.DUMMYFUNCTION("""COMPUTED_VALUE"""),"John")</f>
        <v>John</v>
      </c>
      <c r="C9" s="19" t="str">
        <f>IFERROR(__xludf.DUMMYFUNCTION("""COMPUTED_VALUE"""),"JD")</f>
        <v>JD</v>
      </c>
      <c r="D9" s="19" t="str">
        <f>IFERROR(__xludf.DUMMYFUNCTION("""COMPUTED_VALUE"""),"Doe")</f>
        <v>Doe</v>
      </c>
      <c r="E9" s="19" t="str">
        <f>IFERROR(__xludf.DUMMYFUNCTION("""COMPUTED_VALUE"""),"JD")</f>
        <v>JD</v>
      </c>
      <c r="F9" s="19" t="str">
        <f>IFERROR(__xludf.DUMMYFUNCTION("""COMPUTED_VALUE"""),"VP")</f>
        <v>VP</v>
      </c>
      <c r="G9" s="19"/>
      <c r="H9" s="19">
        <f>IFERROR(__xludf.DUMMYFUNCTION("""COMPUTED_VALUE"""),123.0)</f>
        <v>123</v>
      </c>
      <c r="I9" s="19" t="str">
        <f>IFERROR(__xludf.DUMMYFUNCTION("""COMPUTED_VALUE"""),"Salary")</f>
        <v>Salary</v>
      </c>
      <c r="J9" s="20">
        <f>IFERROR(__xludf.DUMMYFUNCTION("""COMPUTED_VALUE"""),45875.0)</f>
        <v>45875</v>
      </c>
      <c r="K9" s="19" t="str">
        <f>IFERROR(__xludf.DUMMYFUNCTION("""COMPUTED_VALUE"""),"Edmonton")</f>
        <v>Edmonton</v>
      </c>
      <c r="L9" s="19" t="str">
        <f>IFERROR(__xludf.DUMMYFUNCTION("""COMPUTED_VALUE"""),"TEST4")</f>
        <v>TEST4</v>
      </c>
      <c r="M9" s="19" t="str">
        <f>IFERROR(__xludf.DUMMYFUNCTION("""COMPUTED_VALUE"""),"Jane Doe")</f>
        <v>Jane Doe</v>
      </c>
      <c r="N9" s="19" t="str">
        <f>IFERROR(__xludf.DUMMYFUNCTION("""COMPUTED_VALUE"""),"Vishal.srikanth@team-group.com")</f>
        <v>Vishal.srikanth@team-group.com</v>
      </c>
      <c r="O9" s="19" t="str">
        <f>IFERROR(__xludf.DUMMYFUNCTION("""COMPUTED_VALUE"""),"Required")</f>
        <v>Required</v>
      </c>
      <c r="P9" s="19" t="str">
        <f>IFERROR(__xludf.DUMMYFUNCTION("""COMPUTED_VALUE"""),"Required")</f>
        <v>Required</v>
      </c>
      <c r="Q9" s="19"/>
      <c r="R9" s="19" t="str">
        <f>IFERROR(__xludf.DUMMYFUNCTION("""COMPUTED_VALUE"""),"Required")</f>
        <v>Required</v>
      </c>
      <c r="S9" s="19"/>
      <c r="T9" s="19"/>
      <c r="U9" s="19"/>
      <c r="V9" s="19"/>
      <c r="W9" s="19" t="str">
        <f>IFERROR(__xludf.DUMMYFUNCTION("""COMPUTED_VALUE"""),"Required")</f>
        <v>Required</v>
      </c>
      <c r="X9" s="19"/>
      <c r="Y9" s="19" t="str">
        <f>IFERROR(__xludf.DUMMYFUNCTION("""COMPUTED_VALUE"""),"Required")</f>
        <v>Required</v>
      </c>
      <c r="Z9" s="19"/>
      <c r="AA9" s="19"/>
      <c r="AB9" s="19"/>
      <c r="AC9" s="19"/>
      <c r="AD9" s="19" t="str">
        <f>IFERROR(__xludf.DUMMYFUNCTION("""COMPUTED_VALUE"""),"Required")</f>
        <v>Required</v>
      </c>
      <c r="AE9" s="19"/>
      <c r="AF9" s="19"/>
      <c r="AG9" s="19" t="str">
        <f>IFERROR(__xludf.DUMMYFUNCTION("""COMPUTED_VALUE"""),"Required")</f>
        <v>Required</v>
      </c>
      <c r="AH9" s="19"/>
      <c r="AI9" s="19"/>
    </row>
    <row r="10" ht="22.5" customHeight="1">
      <c r="A10" s="19">
        <f>IFERROR(__xludf.DUMMYFUNCTION("""COMPUTED_VALUE"""),2.50730004E8)</f>
        <v>250730004</v>
      </c>
      <c r="B10" s="19" t="str">
        <f>IFERROR(__xludf.DUMMYFUNCTION("""COMPUTED_VALUE"""),"John")</f>
        <v>John</v>
      </c>
      <c r="C10" s="19" t="str">
        <f>IFERROR(__xludf.DUMMYFUNCTION("""COMPUTED_VALUE"""),"JD")</f>
        <v>JD</v>
      </c>
      <c r="D10" s="19" t="str">
        <f>IFERROR(__xludf.DUMMYFUNCTION("""COMPUTED_VALUE"""),"Doe")</f>
        <v>Doe</v>
      </c>
      <c r="E10" s="19" t="str">
        <f>IFERROR(__xludf.DUMMYFUNCTION("""COMPUTED_VALUE"""),"JD")</f>
        <v>JD</v>
      </c>
      <c r="F10" s="19" t="str">
        <f>IFERROR(__xludf.DUMMYFUNCTION("""COMPUTED_VALUE"""),"VP")</f>
        <v>VP</v>
      </c>
      <c r="G10" s="19"/>
      <c r="H10" s="19">
        <f>IFERROR(__xludf.DUMMYFUNCTION("""COMPUTED_VALUE"""),123.0)</f>
        <v>123</v>
      </c>
      <c r="I10" s="19" t="str">
        <f>IFERROR(__xludf.DUMMYFUNCTION("""COMPUTED_VALUE"""),"Salary")</f>
        <v>Salary</v>
      </c>
      <c r="J10" s="20">
        <f>IFERROR(__xludf.DUMMYFUNCTION("""COMPUTED_VALUE"""),45877.0)</f>
        <v>45877</v>
      </c>
      <c r="K10" s="19" t="str">
        <f>IFERROR(__xludf.DUMMYFUNCTION("""COMPUTED_VALUE"""),"Edmonton")</f>
        <v>Edmonton</v>
      </c>
      <c r="L10" s="19" t="str">
        <f>IFERROR(__xludf.DUMMYFUNCTION("""COMPUTED_VALUE"""),"TEST4")</f>
        <v>TEST4</v>
      </c>
      <c r="M10" s="19" t="str">
        <f>IFERROR(__xludf.DUMMYFUNCTION("""COMPUTED_VALUE"""),"Jane Doe")</f>
        <v>Jane Doe</v>
      </c>
      <c r="N10" s="19" t="str">
        <f>IFERROR(__xludf.DUMMYFUNCTION("""COMPUTED_VALUE"""),"Vishal.srikanth@team-group.com")</f>
        <v>Vishal.srikanth@team-group.com</v>
      </c>
      <c r="O10" s="19" t="str">
        <f>IFERROR(__xludf.DUMMYFUNCTION("""COMPUTED_VALUE"""),"Required")</f>
        <v>Required</v>
      </c>
      <c r="P10" s="19" t="str">
        <f>IFERROR(__xludf.DUMMYFUNCTION("""COMPUTED_VALUE"""),"Required")</f>
        <v>Required</v>
      </c>
      <c r="Q10" s="19" t="str">
        <f>IFERROR(__xludf.DUMMYFUNCTION("""COMPUTED_VALUE"""),"Required")</f>
        <v>Required</v>
      </c>
      <c r="R10" s="19" t="str">
        <f>IFERROR(__xludf.DUMMYFUNCTION("""COMPUTED_VALUE"""),"Required")</f>
        <v>Required</v>
      </c>
      <c r="S10" s="19" t="str">
        <f>IFERROR(__xludf.DUMMYFUNCTION("""COMPUTED_VALUE"""),"Required")</f>
        <v>Required</v>
      </c>
      <c r="T10" s="19" t="str">
        <f>IFERROR(__xludf.DUMMYFUNCTION("""COMPUTED_VALUE"""),"Required")</f>
        <v>Required</v>
      </c>
      <c r="U10" s="19" t="str">
        <f>IFERROR(__xludf.DUMMYFUNCTION("""COMPUTED_VALUE"""),"Required")</f>
        <v>Required</v>
      </c>
      <c r="V10" s="19" t="str">
        <f>IFERROR(__xludf.DUMMYFUNCTION("""COMPUTED_VALUE"""),"Required")</f>
        <v>Required</v>
      </c>
      <c r="W10" s="19" t="str">
        <f>IFERROR(__xludf.DUMMYFUNCTION("""COMPUTED_VALUE"""),"Required")</f>
        <v>Required</v>
      </c>
      <c r="X10" s="19" t="str">
        <f>IFERROR(__xludf.DUMMYFUNCTION("""COMPUTED_VALUE"""),"Required")</f>
        <v>Required</v>
      </c>
      <c r="Y10" s="19" t="str">
        <f>IFERROR(__xludf.DUMMYFUNCTION("""COMPUTED_VALUE"""),"Required")</f>
        <v>Required</v>
      </c>
      <c r="Z10" s="19" t="str">
        <f>IFERROR(__xludf.DUMMYFUNCTION("""COMPUTED_VALUE"""),"Required")</f>
        <v>Required</v>
      </c>
      <c r="AA10" s="19" t="str">
        <f>IFERROR(__xludf.DUMMYFUNCTION("""COMPUTED_VALUE"""),"Required")</f>
        <v>Required</v>
      </c>
      <c r="AB10" s="19" t="str">
        <f>IFERROR(__xludf.DUMMYFUNCTION("""COMPUTED_VALUE"""),"Required")</f>
        <v>Required</v>
      </c>
      <c r="AC10" s="19" t="str">
        <f>IFERROR(__xludf.DUMMYFUNCTION("""COMPUTED_VALUE"""),"Required")</f>
        <v>Required</v>
      </c>
      <c r="AD10" s="19" t="str">
        <f>IFERROR(__xludf.DUMMYFUNCTION("""COMPUTED_VALUE"""),"Required")</f>
        <v>Required</v>
      </c>
      <c r="AE10" s="19" t="str">
        <f>IFERROR(__xludf.DUMMYFUNCTION("""COMPUTED_VALUE"""),"Required")</f>
        <v>Required</v>
      </c>
      <c r="AF10" s="19" t="str">
        <f>IFERROR(__xludf.DUMMYFUNCTION("""COMPUTED_VALUE"""),"Required")</f>
        <v>Required</v>
      </c>
      <c r="AG10" s="19" t="str">
        <f>IFERROR(__xludf.DUMMYFUNCTION("""COMPUTED_VALUE"""),"Required")</f>
        <v>Required</v>
      </c>
      <c r="AH10" s="19" t="str">
        <f>IFERROR(__xludf.DUMMYFUNCTION("""COMPUTED_VALUE"""),"Required")</f>
        <v>Required</v>
      </c>
      <c r="AI10" s="19" t="str">
        <f>IFERROR(__xludf.DUMMYFUNCTION("""COMPUTED_VALUE"""),"Required")</f>
        <v>Required</v>
      </c>
    </row>
    <row r="11" ht="22.5" customHeight="1">
      <c r="A11" s="19">
        <f>IFERROR(__xludf.DUMMYFUNCTION("""COMPUTED_VALUE"""),2.50730005E8)</f>
        <v>250730005</v>
      </c>
      <c r="B11" s="19" t="str">
        <f>IFERROR(__xludf.DUMMYFUNCTION("""COMPUTED_VALUE"""),"John")</f>
        <v>John</v>
      </c>
      <c r="C11" s="19" t="str">
        <f>IFERROR(__xludf.DUMMYFUNCTION("""COMPUTED_VALUE"""),"JD")</f>
        <v>JD</v>
      </c>
      <c r="D11" s="19" t="str">
        <f>IFERROR(__xludf.DUMMYFUNCTION("""COMPUTED_VALUE"""),"Doe")</f>
        <v>Doe</v>
      </c>
      <c r="E11" s="19" t="str">
        <f>IFERROR(__xludf.DUMMYFUNCTION("""COMPUTED_VALUE"""),"JD")</f>
        <v>JD</v>
      </c>
      <c r="F11" s="19" t="str">
        <f>IFERROR(__xludf.DUMMYFUNCTION("""COMPUTED_VALUE"""),"VP")</f>
        <v>VP</v>
      </c>
      <c r="G11" s="19"/>
      <c r="H11" s="19">
        <f>IFERROR(__xludf.DUMMYFUNCTION("""COMPUTED_VALUE"""),123.0)</f>
        <v>123</v>
      </c>
      <c r="I11" s="19" t="str">
        <f>IFERROR(__xludf.DUMMYFUNCTION("""COMPUTED_VALUE"""),"Salary")</f>
        <v>Salary</v>
      </c>
      <c r="J11" s="20">
        <f>IFERROR(__xludf.DUMMYFUNCTION("""COMPUTED_VALUE"""),45874.0)</f>
        <v>45874</v>
      </c>
      <c r="K11" s="19" t="str">
        <f>IFERROR(__xludf.DUMMYFUNCTION("""COMPUTED_VALUE"""),"Bluebird")</f>
        <v>Bluebird</v>
      </c>
      <c r="L11" s="19" t="str">
        <f>IFERROR(__xludf.DUMMYFUNCTION("""COMPUTED_VALUE"""),"TEST1")</f>
        <v>TEST1</v>
      </c>
      <c r="M11" s="19" t="str">
        <f>IFERROR(__xludf.DUMMYFUNCTION("""COMPUTED_VALUE"""),"Jane Doe")</f>
        <v>Jane Doe</v>
      </c>
      <c r="N11" s="19" t="str">
        <f>IFERROR(__xludf.DUMMYFUNCTION("""COMPUTED_VALUE"""),"Vishal.srikanth@team-group.com")</f>
        <v>Vishal.srikanth@team-group.com</v>
      </c>
      <c r="O11" s="19" t="str">
        <f>IFERROR(__xludf.DUMMYFUNCTION("""COMPUTED_VALUE"""),"Required")</f>
        <v>Required</v>
      </c>
      <c r="P11" s="19" t="str">
        <f>IFERROR(__xludf.DUMMYFUNCTION("""COMPUTED_VALUE"""),"Required")</f>
        <v>Required</v>
      </c>
      <c r="Q11" s="19" t="str">
        <f>IFERROR(__xludf.DUMMYFUNCTION("""COMPUTED_VALUE"""),"Required")</f>
        <v>Required</v>
      </c>
      <c r="R11" s="19" t="str">
        <f>IFERROR(__xludf.DUMMYFUNCTION("""COMPUTED_VALUE"""),"Required")</f>
        <v>Required</v>
      </c>
      <c r="S11" s="19" t="str">
        <f>IFERROR(__xludf.DUMMYFUNCTION("""COMPUTED_VALUE"""),"Required")</f>
        <v>Required</v>
      </c>
      <c r="T11" s="19" t="str">
        <f>IFERROR(__xludf.DUMMYFUNCTION("""COMPUTED_VALUE"""),"Required")</f>
        <v>Required</v>
      </c>
      <c r="U11" s="19" t="str">
        <f>IFERROR(__xludf.DUMMYFUNCTION("""COMPUTED_VALUE"""),"Required")</f>
        <v>Required</v>
      </c>
      <c r="V11" s="19" t="str">
        <f>IFERROR(__xludf.DUMMYFUNCTION("""COMPUTED_VALUE"""),"Required")</f>
        <v>Required</v>
      </c>
      <c r="W11" s="19" t="str">
        <f>IFERROR(__xludf.DUMMYFUNCTION("""COMPUTED_VALUE"""),"Required")</f>
        <v>Required</v>
      </c>
      <c r="X11" s="19" t="str">
        <f>IFERROR(__xludf.DUMMYFUNCTION("""COMPUTED_VALUE"""),"Required")</f>
        <v>Required</v>
      </c>
      <c r="Y11" s="19" t="str">
        <f>IFERROR(__xludf.DUMMYFUNCTION("""COMPUTED_VALUE"""),"Required")</f>
        <v>Required</v>
      </c>
      <c r="Z11" s="19" t="str">
        <f>IFERROR(__xludf.DUMMYFUNCTION("""COMPUTED_VALUE"""),"Required")</f>
        <v>Required</v>
      </c>
      <c r="AA11" s="19" t="str">
        <f>IFERROR(__xludf.DUMMYFUNCTION("""COMPUTED_VALUE"""),"Required")</f>
        <v>Required</v>
      </c>
      <c r="AB11" s="19" t="str">
        <f>IFERROR(__xludf.DUMMYFUNCTION("""COMPUTED_VALUE"""),"Required")</f>
        <v>Required</v>
      </c>
      <c r="AC11" s="19" t="str">
        <f>IFERROR(__xludf.DUMMYFUNCTION("""COMPUTED_VALUE"""),"Required")</f>
        <v>Required</v>
      </c>
      <c r="AD11" s="19" t="str">
        <f>IFERROR(__xludf.DUMMYFUNCTION("""COMPUTED_VALUE"""),"Required")</f>
        <v>Required</v>
      </c>
      <c r="AE11" s="19" t="str">
        <f>IFERROR(__xludf.DUMMYFUNCTION("""COMPUTED_VALUE"""),"Required")</f>
        <v>Required</v>
      </c>
      <c r="AF11" s="19" t="str">
        <f>IFERROR(__xludf.DUMMYFUNCTION("""COMPUTED_VALUE"""),"Required")</f>
        <v>Required</v>
      </c>
      <c r="AG11" s="19" t="str">
        <f>IFERROR(__xludf.DUMMYFUNCTION("""COMPUTED_VALUE"""),"Required")</f>
        <v>Required</v>
      </c>
      <c r="AH11" s="19" t="str">
        <f>IFERROR(__xludf.DUMMYFUNCTION("""COMPUTED_VALUE"""),"Required")</f>
        <v>Required</v>
      </c>
      <c r="AI11" s="19" t="str">
        <f>IFERROR(__xludf.DUMMYFUNCTION("""COMPUTED_VALUE"""),"Required")</f>
        <v>Required</v>
      </c>
    </row>
    <row r="12" ht="22.5" customHeight="1">
      <c r="A12" s="19">
        <f>IFERROR(__xludf.DUMMYFUNCTION("""COMPUTED_VALUE"""),2.50805002E8)</f>
        <v>250805002</v>
      </c>
      <c r="B12" s="19" t="str">
        <f>IFERROR(__xludf.DUMMYFUNCTION("""COMPUTED_VALUE"""),"John")</f>
        <v>John</v>
      </c>
      <c r="C12" s="19" t="str">
        <f>IFERROR(__xludf.DUMMYFUNCTION("""COMPUTED_VALUE"""),"JD")</f>
        <v>JD</v>
      </c>
      <c r="D12" s="19" t="str">
        <f>IFERROR(__xludf.DUMMYFUNCTION("""COMPUTED_VALUE"""),"Doe")</f>
        <v>Doe</v>
      </c>
      <c r="E12" s="19" t="str">
        <f>IFERROR(__xludf.DUMMYFUNCTION("""COMPUTED_VALUE"""),"JD")</f>
        <v>JD</v>
      </c>
      <c r="F12" s="19" t="str">
        <f>IFERROR(__xludf.DUMMYFUNCTION("""COMPUTED_VALUE"""),"VP")</f>
        <v>VP</v>
      </c>
      <c r="G12" s="19"/>
      <c r="H12" s="19">
        <f>IFERROR(__xludf.DUMMYFUNCTION("""COMPUTED_VALUE"""),123.0)</f>
        <v>123</v>
      </c>
      <c r="I12" s="19" t="str">
        <f>IFERROR(__xludf.DUMMYFUNCTION("""COMPUTED_VALUE"""),"Salary")</f>
        <v>Salary</v>
      </c>
      <c r="J12" s="20">
        <f>IFERROR(__xludf.DUMMYFUNCTION("""COMPUTED_VALUE"""),45881.0)</f>
        <v>45881</v>
      </c>
      <c r="K12" s="19" t="str">
        <f>IFERROR(__xludf.DUMMYFUNCTION("""COMPUTED_VALUE"""),"Bluebird")</f>
        <v>Bluebird</v>
      </c>
      <c r="L12" s="19" t="str">
        <f>IFERROR(__xludf.DUMMYFUNCTION("""COMPUTED_VALUE"""),"TEST1")</f>
        <v>TEST1</v>
      </c>
      <c r="M12" s="19" t="str">
        <f>IFERROR(__xludf.DUMMYFUNCTION("""COMPUTED_VALUE"""),"VS")</f>
        <v>VS</v>
      </c>
      <c r="N12" s="19" t="str">
        <f>IFERROR(__xludf.DUMMYFUNCTION("""COMPUTED_VALUE"""),"Vishal.srikanth@team-group.com")</f>
        <v>Vishal.srikanth@team-group.com</v>
      </c>
      <c r="O12" s="19" t="str">
        <f>IFERROR(__xludf.DUMMYFUNCTION("""COMPUTED_VALUE"""),"Required")</f>
        <v>Required</v>
      </c>
      <c r="P12" s="19" t="str">
        <f>IFERROR(__xludf.DUMMYFUNCTION("""COMPUTED_VALUE"""),"Required")</f>
        <v>Required</v>
      </c>
      <c r="Q12" s="19" t="str">
        <f>IFERROR(__xludf.DUMMYFUNCTION("""COMPUTED_VALUE"""),"Required")</f>
        <v>Required</v>
      </c>
      <c r="R12" s="19" t="str">
        <f>IFERROR(__xludf.DUMMYFUNCTION("""COMPUTED_VALUE"""),"Required")</f>
        <v>Required</v>
      </c>
      <c r="S12" s="19" t="str">
        <f>IFERROR(__xludf.DUMMYFUNCTION("""COMPUTED_VALUE"""),"Required")</f>
        <v>Required</v>
      </c>
      <c r="T12" s="19" t="str">
        <f>IFERROR(__xludf.DUMMYFUNCTION("""COMPUTED_VALUE"""),"Required")</f>
        <v>Required</v>
      </c>
      <c r="U12" s="19" t="str">
        <f>IFERROR(__xludf.DUMMYFUNCTION("""COMPUTED_VALUE"""),"Required")</f>
        <v>Required</v>
      </c>
      <c r="V12" s="19" t="str">
        <f>IFERROR(__xludf.DUMMYFUNCTION("""COMPUTED_VALUE"""),"Required")</f>
        <v>Required</v>
      </c>
      <c r="W12" s="19" t="str">
        <f>IFERROR(__xludf.DUMMYFUNCTION("""COMPUTED_VALUE"""),"Required")</f>
        <v>Required</v>
      </c>
      <c r="X12" s="19" t="str">
        <f>IFERROR(__xludf.DUMMYFUNCTION("""COMPUTED_VALUE"""),"Required")</f>
        <v>Required</v>
      </c>
      <c r="Y12" s="19" t="str">
        <f>IFERROR(__xludf.DUMMYFUNCTION("""COMPUTED_VALUE"""),"Required")</f>
        <v>Required</v>
      </c>
      <c r="Z12" s="19" t="str">
        <f>IFERROR(__xludf.DUMMYFUNCTION("""COMPUTED_VALUE"""),"Required")</f>
        <v>Required</v>
      </c>
      <c r="AA12" s="19" t="str">
        <f>IFERROR(__xludf.DUMMYFUNCTION("""COMPUTED_VALUE"""),"Required")</f>
        <v>Required</v>
      </c>
      <c r="AB12" s="19" t="str">
        <f>IFERROR(__xludf.DUMMYFUNCTION("""COMPUTED_VALUE"""),"Required")</f>
        <v>Required</v>
      </c>
      <c r="AC12" s="19" t="str">
        <f>IFERROR(__xludf.DUMMYFUNCTION("""COMPUTED_VALUE"""),"Required")</f>
        <v>Required</v>
      </c>
      <c r="AD12" s="19" t="str">
        <f>IFERROR(__xludf.DUMMYFUNCTION("""COMPUTED_VALUE"""),"Required")</f>
        <v>Required</v>
      </c>
      <c r="AE12" s="19" t="str">
        <f>IFERROR(__xludf.DUMMYFUNCTION("""COMPUTED_VALUE"""),"Required")</f>
        <v>Required</v>
      </c>
      <c r="AF12" s="19" t="str">
        <f>IFERROR(__xludf.DUMMYFUNCTION("""COMPUTED_VALUE"""),"Required")</f>
        <v>Required</v>
      </c>
      <c r="AG12" s="19" t="str">
        <f>IFERROR(__xludf.DUMMYFUNCTION("""COMPUTED_VALUE"""),"Required")</f>
        <v>Required</v>
      </c>
      <c r="AH12" s="19" t="str">
        <f>IFERROR(__xludf.DUMMYFUNCTION("""COMPUTED_VALUE"""),"Required")</f>
        <v>Required</v>
      </c>
      <c r="AI12" s="19" t="str">
        <f>IFERROR(__xludf.DUMMYFUNCTION("""COMPUTED_VALUE"""),"Required")</f>
        <v>Required</v>
      </c>
    </row>
    <row r="13" ht="22.5" customHeight="1">
      <c r="A13" s="19">
        <f>IFERROR(__xludf.DUMMYFUNCTION("""COMPUTED_VALUE"""),2.50805006E8)</f>
        <v>250805006</v>
      </c>
      <c r="B13" s="19" t="str">
        <f>IFERROR(__xludf.DUMMYFUNCTION("""COMPUTED_VALUE"""),"John")</f>
        <v>John</v>
      </c>
      <c r="C13" s="19" t="str">
        <f>IFERROR(__xludf.DUMMYFUNCTION("""COMPUTED_VALUE"""),"JD")</f>
        <v>JD</v>
      </c>
      <c r="D13" s="19" t="str">
        <f>IFERROR(__xludf.DUMMYFUNCTION("""COMPUTED_VALUE"""),"Doe")</f>
        <v>Doe</v>
      </c>
      <c r="E13" s="19" t="str">
        <f>IFERROR(__xludf.DUMMYFUNCTION("""COMPUTED_VALUE"""),"JD")</f>
        <v>JD</v>
      </c>
      <c r="F13" s="19" t="str">
        <f>IFERROR(__xludf.DUMMYFUNCTION("""COMPUTED_VALUE"""),"VP")</f>
        <v>VP</v>
      </c>
      <c r="G13" s="19" t="str">
        <f>IFERROR(__xludf.DUMMYFUNCTION("""COMPUTED_VALUE"""),"email")</f>
        <v>email</v>
      </c>
      <c r="H13" s="19">
        <f>IFERROR(__xludf.DUMMYFUNCTION("""COMPUTED_VALUE"""),123.0)</f>
        <v>123</v>
      </c>
      <c r="I13" s="19" t="str">
        <f>IFERROR(__xludf.DUMMYFUNCTION("""COMPUTED_VALUE"""),"Hourly")</f>
        <v>Hourly</v>
      </c>
      <c r="J13" s="20">
        <f>IFERROR(__xludf.DUMMYFUNCTION("""COMPUTED_VALUE"""),45889.0)</f>
        <v>45889</v>
      </c>
      <c r="K13" s="19" t="str">
        <f>IFERROR(__xludf.DUMMYFUNCTION("""COMPUTED_VALUE"""),"Decostar")</f>
        <v>Decostar</v>
      </c>
      <c r="L13" s="19" t="str">
        <f>IFERROR(__xludf.DUMMYFUNCTION("""COMPUTED_VALUE"""),"TEST3")</f>
        <v>TEST3</v>
      </c>
      <c r="M13" s="19" t="str">
        <f>IFERROR(__xludf.DUMMYFUNCTION("""COMPUTED_VALUE"""),"Jane Doe")</f>
        <v>Jane Doe</v>
      </c>
      <c r="N13" s="19" t="str">
        <f>IFERROR(__xludf.DUMMYFUNCTION("""COMPUTED_VALUE"""),"Vishal.srikanth@team-group.com")</f>
        <v>Vishal.srikanth@team-group.com</v>
      </c>
      <c r="O13" s="19" t="str">
        <f>IFERROR(__xludf.DUMMYFUNCTION("""COMPUTED_VALUE"""),"Yes")</f>
        <v>Yes</v>
      </c>
      <c r="P13" s="19" t="str">
        <f>IFERROR(__xludf.DUMMYFUNCTION("""COMPUTED_VALUE"""),"No")</f>
        <v>No</v>
      </c>
      <c r="Q13" s="19" t="str">
        <f>IFERROR(__xludf.DUMMYFUNCTION("""COMPUTED_VALUE"""),"No")</f>
        <v>No</v>
      </c>
      <c r="R13" s="19" t="str">
        <f>IFERROR(__xludf.DUMMYFUNCTION("""COMPUTED_VALUE"""),"No")</f>
        <v>No</v>
      </c>
      <c r="S13" s="19" t="str">
        <f>IFERROR(__xludf.DUMMYFUNCTION("""COMPUTED_VALUE"""),"No")</f>
        <v>No</v>
      </c>
      <c r="T13" s="19" t="str">
        <f>IFERROR(__xludf.DUMMYFUNCTION("""COMPUTED_VALUE"""),"No")</f>
        <v>No</v>
      </c>
      <c r="U13" s="19" t="str">
        <f>IFERROR(__xludf.DUMMYFUNCTION("""COMPUTED_VALUE"""),"No")</f>
        <v>No</v>
      </c>
      <c r="V13" s="19" t="str">
        <f>IFERROR(__xludf.DUMMYFUNCTION("""COMPUTED_VALUE"""),"No")</f>
        <v>No</v>
      </c>
      <c r="W13" s="19" t="str">
        <f>IFERROR(__xludf.DUMMYFUNCTION("""COMPUTED_VALUE"""),"No")</f>
        <v>No</v>
      </c>
      <c r="X13" s="19" t="str">
        <f>IFERROR(__xludf.DUMMYFUNCTION("""COMPUTED_VALUE"""),"No")</f>
        <v>No</v>
      </c>
      <c r="Y13" s="19" t="str">
        <f>IFERROR(__xludf.DUMMYFUNCTION("""COMPUTED_VALUE"""),"No")</f>
        <v>No</v>
      </c>
      <c r="Z13" s="19" t="str">
        <f>IFERROR(__xludf.DUMMYFUNCTION("""COMPUTED_VALUE"""),"No")</f>
        <v>No</v>
      </c>
      <c r="AA13" s="19" t="str">
        <f>IFERROR(__xludf.DUMMYFUNCTION("""COMPUTED_VALUE"""),"No")</f>
        <v>No</v>
      </c>
      <c r="AB13" s="19" t="str">
        <f>IFERROR(__xludf.DUMMYFUNCTION("""COMPUTED_VALUE"""),"No")</f>
        <v>No</v>
      </c>
      <c r="AC13" s="19" t="str">
        <f>IFERROR(__xludf.DUMMYFUNCTION("""COMPUTED_VALUE"""),"No")</f>
        <v>No</v>
      </c>
      <c r="AD13" s="19" t="str">
        <f>IFERROR(__xludf.DUMMYFUNCTION("""COMPUTED_VALUE"""),"No")</f>
        <v>No</v>
      </c>
      <c r="AE13" s="19" t="str">
        <f>IFERROR(__xludf.DUMMYFUNCTION("""COMPUTED_VALUE"""),"Yes")</f>
        <v>Yes</v>
      </c>
      <c r="AF13" s="19" t="str">
        <f>IFERROR(__xludf.DUMMYFUNCTION("""COMPUTED_VALUE"""),"No")</f>
        <v>No</v>
      </c>
      <c r="AG13" s="19" t="str">
        <f>IFERROR(__xludf.DUMMYFUNCTION("""COMPUTED_VALUE"""),"Yes")</f>
        <v>Yes</v>
      </c>
      <c r="AH13" s="19" t="str">
        <f>IFERROR(__xludf.DUMMYFUNCTION("""COMPUTED_VALUE"""),"No")</f>
        <v>No</v>
      </c>
      <c r="AI13" s="19" t="str">
        <f>IFERROR(__xludf.DUMMYFUNCTION("""COMPUTED_VALUE"""),"Yes")</f>
        <v>Yes</v>
      </c>
    </row>
    <row r="14" ht="22.5" customHeight="1">
      <c r="A14" s="19">
        <f>IFERROR(__xludf.DUMMYFUNCTION("""COMPUTED_VALUE"""),2.50805007E8)</f>
        <v>250805007</v>
      </c>
      <c r="B14" s="19" t="str">
        <f>IFERROR(__xludf.DUMMYFUNCTION("""COMPUTED_VALUE"""),"John")</f>
        <v>John</v>
      </c>
      <c r="C14" s="19" t="str">
        <f>IFERROR(__xludf.DUMMYFUNCTION("""COMPUTED_VALUE"""),"JD")</f>
        <v>JD</v>
      </c>
      <c r="D14" s="19" t="str">
        <f>IFERROR(__xludf.DUMMYFUNCTION("""COMPUTED_VALUE"""),"Doe")</f>
        <v>Doe</v>
      </c>
      <c r="E14" s="19"/>
      <c r="F14" s="19" t="str">
        <f>IFERROR(__xludf.DUMMYFUNCTION("""COMPUTED_VALUE"""),"VP")</f>
        <v>VP</v>
      </c>
      <c r="G14" s="19"/>
      <c r="H14" s="19"/>
      <c r="I14" s="19" t="str">
        <f>IFERROR(__xludf.DUMMYFUNCTION("""COMPUTED_VALUE"""),"Hourly")</f>
        <v>Hourly</v>
      </c>
      <c r="J14" s="20">
        <f>IFERROR(__xludf.DUMMYFUNCTION("""COMPUTED_VALUE"""),45883.0)</f>
        <v>45883</v>
      </c>
      <c r="K14" s="19" t="str">
        <f>IFERROR(__xludf.DUMMYFUNCTION("""COMPUTED_VALUE"""),"Decostar")</f>
        <v>Decostar</v>
      </c>
      <c r="L14" s="19" t="str">
        <f>IFERROR(__xludf.DUMMYFUNCTION("""COMPUTED_VALUE"""),"TEST3")</f>
        <v>TEST3</v>
      </c>
      <c r="M14" s="19" t="str">
        <f>IFERROR(__xludf.DUMMYFUNCTION("""COMPUTED_VALUE"""),"Jane Doe")</f>
        <v>Jane Doe</v>
      </c>
      <c r="N14" s="19" t="str">
        <f>IFERROR(__xludf.DUMMYFUNCTION("""COMPUTED_VALUE"""),"Vishal.srikanth@team-group.com")</f>
        <v>Vishal.srikanth@team-group.com</v>
      </c>
      <c r="O14" s="19" t="str">
        <f>IFERROR(__xludf.DUMMYFUNCTION("""COMPUTED_VALUE"""),"No")</f>
        <v>No</v>
      </c>
      <c r="P14" s="19" t="str">
        <f>IFERROR(__xludf.DUMMYFUNCTION("""COMPUTED_VALUE"""),"No")</f>
        <v>No</v>
      </c>
      <c r="Q14" s="19" t="str">
        <f>IFERROR(__xludf.DUMMYFUNCTION("""COMPUTED_VALUE"""),"No")</f>
        <v>No</v>
      </c>
      <c r="R14" s="19" t="str">
        <f>IFERROR(__xludf.DUMMYFUNCTION("""COMPUTED_VALUE"""),"No")</f>
        <v>No</v>
      </c>
      <c r="S14" s="19" t="str">
        <f>IFERROR(__xludf.DUMMYFUNCTION("""COMPUTED_VALUE"""),"No")</f>
        <v>No</v>
      </c>
      <c r="T14" s="19" t="str">
        <f>IFERROR(__xludf.DUMMYFUNCTION("""COMPUTED_VALUE"""),"No")</f>
        <v>No</v>
      </c>
      <c r="U14" s="19" t="str">
        <f>IFERROR(__xludf.DUMMYFUNCTION("""COMPUTED_VALUE"""),"No")</f>
        <v>No</v>
      </c>
      <c r="V14" s="19" t="str">
        <f>IFERROR(__xludf.DUMMYFUNCTION("""COMPUTED_VALUE"""),"No")</f>
        <v>No</v>
      </c>
      <c r="W14" s="19" t="str">
        <f>IFERROR(__xludf.DUMMYFUNCTION("""COMPUTED_VALUE"""),"No")</f>
        <v>No</v>
      </c>
      <c r="X14" s="19" t="str">
        <f>IFERROR(__xludf.DUMMYFUNCTION("""COMPUTED_VALUE"""),"No")</f>
        <v>No</v>
      </c>
      <c r="Y14" s="19" t="str">
        <f>IFERROR(__xludf.DUMMYFUNCTION("""COMPUTED_VALUE"""),"No")</f>
        <v>No</v>
      </c>
      <c r="Z14" s="19" t="str">
        <f>IFERROR(__xludf.DUMMYFUNCTION("""COMPUTED_VALUE"""),"No")</f>
        <v>No</v>
      </c>
      <c r="AA14" s="19" t="str">
        <f>IFERROR(__xludf.DUMMYFUNCTION("""COMPUTED_VALUE"""),"No")</f>
        <v>No</v>
      </c>
      <c r="AB14" s="19" t="str">
        <f>IFERROR(__xludf.DUMMYFUNCTION("""COMPUTED_VALUE"""),"No")</f>
        <v>No</v>
      </c>
      <c r="AC14" s="19" t="str">
        <f>IFERROR(__xludf.DUMMYFUNCTION("""COMPUTED_VALUE"""),"No")</f>
        <v>No</v>
      </c>
      <c r="AD14" s="19" t="str">
        <f>IFERROR(__xludf.DUMMYFUNCTION("""COMPUTED_VALUE"""),"No")</f>
        <v>No</v>
      </c>
      <c r="AE14" s="19" t="str">
        <f>IFERROR(__xludf.DUMMYFUNCTION("""COMPUTED_VALUE"""),"No")</f>
        <v>No</v>
      </c>
      <c r="AF14" s="19" t="str">
        <f>IFERROR(__xludf.DUMMYFUNCTION("""COMPUTED_VALUE"""),"No")</f>
        <v>No</v>
      </c>
      <c r="AG14" s="19" t="str">
        <f>IFERROR(__xludf.DUMMYFUNCTION("""COMPUTED_VALUE"""),"No")</f>
        <v>No</v>
      </c>
      <c r="AH14" s="19" t="str">
        <f>IFERROR(__xludf.DUMMYFUNCTION("""COMPUTED_VALUE"""),"No")</f>
        <v>No</v>
      </c>
      <c r="AI14" s="19" t="str">
        <f>IFERROR(__xludf.DUMMYFUNCTION("""COMPUTED_VALUE"""),"No")</f>
        <v>No</v>
      </c>
    </row>
    <row r="15" ht="22.5" customHeight="1">
      <c r="A15" s="19">
        <f>IFERROR(__xludf.DUMMYFUNCTION("""COMPUTED_VALUE"""),2.50806001E8)</f>
        <v>250806001</v>
      </c>
      <c r="B15" s="19" t="str">
        <f>IFERROR(__xludf.DUMMYFUNCTION("""COMPUTED_VALUE"""),"John")</f>
        <v>John</v>
      </c>
      <c r="C15" s="19"/>
      <c r="D15" s="19" t="str">
        <f>IFERROR(__xludf.DUMMYFUNCTION("""COMPUTED_VALUE"""),"Doe")</f>
        <v>Doe</v>
      </c>
      <c r="E15" s="19"/>
      <c r="F15" s="19" t="str">
        <f>IFERROR(__xludf.DUMMYFUNCTION("""COMPUTED_VALUE"""),"VP")</f>
        <v>VP</v>
      </c>
      <c r="G15" s="19"/>
      <c r="H15" s="19"/>
      <c r="I15" s="19" t="str">
        <f>IFERROR(__xludf.DUMMYFUNCTION("""COMPUTED_VALUE"""),"Hourly")</f>
        <v>Hourly</v>
      </c>
      <c r="J15" s="20">
        <f>IFERROR(__xludf.DUMMYFUNCTION("""COMPUTED_VALUE"""),45904.0)</f>
        <v>45904</v>
      </c>
      <c r="K15" s="19" t="str">
        <f>IFERROR(__xludf.DUMMYFUNCTION("""COMPUTED_VALUE"""),"Chrysler Windsor Paintshop")</f>
        <v>Chrysler Windsor Paintshop</v>
      </c>
      <c r="L15" s="19" t="str">
        <f>IFERROR(__xludf.DUMMYFUNCTION("""COMPUTED_VALUE"""),"TW049")</f>
        <v>TW049</v>
      </c>
      <c r="M15" s="19" t="str">
        <f>IFERROR(__xludf.DUMMYFUNCTION("""COMPUTED_VALUE"""),"Jane Doe")</f>
        <v>Jane Doe</v>
      </c>
      <c r="N15" s="19" t="str">
        <f>IFERROR(__xludf.DUMMYFUNCTION("""COMPUTED_VALUE"""),"Vishal.srikanth@team-group.com")</f>
        <v>Vishal.srikanth@team-group.com</v>
      </c>
      <c r="O15" s="19" t="str">
        <f>IFERROR(__xludf.DUMMYFUNCTION("""COMPUTED_VALUE"""),"No")</f>
        <v>No</v>
      </c>
      <c r="P15" s="19" t="str">
        <f>IFERROR(__xludf.DUMMYFUNCTION("""COMPUTED_VALUE"""),"No")</f>
        <v>No</v>
      </c>
      <c r="Q15" s="19" t="str">
        <f>IFERROR(__xludf.DUMMYFUNCTION("""COMPUTED_VALUE"""),"No")</f>
        <v>No</v>
      </c>
      <c r="R15" s="19" t="str">
        <f>IFERROR(__xludf.DUMMYFUNCTION("""COMPUTED_VALUE"""),"No")</f>
        <v>No</v>
      </c>
      <c r="S15" s="19" t="str">
        <f>IFERROR(__xludf.DUMMYFUNCTION("""COMPUTED_VALUE"""),"No")</f>
        <v>No</v>
      </c>
      <c r="T15" s="19" t="str">
        <f>IFERROR(__xludf.DUMMYFUNCTION("""COMPUTED_VALUE"""),"No")</f>
        <v>No</v>
      </c>
      <c r="U15" s="19" t="str">
        <f>IFERROR(__xludf.DUMMYFUNCTION("""COMPUTED_VALUE"""),"No")</f>
        <v>No</v>
      </c>
      <c r="V15" s="19" t="str">
        <f>IFERROR(__xludf.DUMMYFUNCTION("""COMPUTED_VALUE"""),"No")</f>
        <v>No</v>
      </c>
      <c r="W15" s="19" t="str">
        <f>IFERROR(__xludf.DUMMYFUNCTION("""COMPUTED_VALUE"""),"No")</f>
        <v>No</v>
      </c>
      <c r="X15" s="19" t="str">
        <f>IFERROR(__xludf.DUMMYFUNCTION("""COMPUTED_VALUE"""),"No")</f>
        <v>No</v>
      </c>
      <c r="Y15" s="19" t="str">
        <f>IFERROR(__xludf.DUMMYFUNCTION("""COMPUTED_VALUE"""),"No")</f>
        <v>No</v>
      </c>
      <c r="Z15" s="19" t="str">
        <f>IFERROR(__xludf.DUMMYFUNCTION("""COMPUTED_VALUE"""),"No")</f>
        <v>No</v>
      </c>
      <c r="AA15" s="19" t="str">
        <f>IFERROR(__xludf.DUMMYFUNCTION("""COMPUTED_VALUE"""),"No")</f>
        <v>No</v>
      </c>
      <c r="AB15" s="19" t="str">
        <f>IFERROR(__xludf.DUMMYFUNCTION("""COMPUTED_VALUE"""),"No")</f>
        <v>No</v>
      </c>
      <c r="AC15" s="19" t="str">
        <f>IFERROR(__xludf.DUMMYFUNCTION("""COMPUTED_VALUE"""),"No")</f>
        <v>No</v>
      </c>
      <c r="AD15" s="19" t="str">
        <f>IFERROR(__xludf.DUMMYFUNCTION("""COMPUTED_VALUE"""),"No")</f>
        <v>No</v>
      </c>
      <c r="AE15" s="19" t="str">
        <f>IFERROR(__xludf.DUMMYFUNCTION("""COMPUTED_VALUE"""),"Yes")</f>
        <v>Yes</v>
      </c>
      <c r="AF15" s="19" t="str">
        <f>IFERROR(__xludf.DUMMYFUNCTION("""COMPUTED_VALUE"""),"No")</f>
        <v>No</v>
      </c>
      <c r="AG15" s="19" t="str">
        <f>IFERROR(__xludf.DUMMYFUNCTION("""COMPUTED_VALUE"""),"No")</f>
        <v>No</v>
      </c>
      <c r="AH15" s="19" t="str">
        <f>IFERROR(__xludf.DUMMYFUNCTION("""COMPUTED_VALUE"""),"No")</f>
        <v>No</v>
      </c>
      <c r="AI15" s="19" t="str">
        <f>IFERROR(__xludf.DUMMYFUNCTION("""COMPUTED_VALUE"""),"No")</f>
        <v>No</v>
      </c>
    </row>
    <row r="16" ht="22.5" customHeight="1">
      <c r="A16" s="19">
        <f>IFERROR(__xludf.DUMMYFUNCTION("""COMPUTED_VALUE"""),2.50806002E8)</f>
        <v>250806002</v>
      </c>
      <c r="B16" s="19" t="str">
        <f>IFERROR(__xludf.DUMMYFUNCTION("""COMPUTED_VALUE"""),"John")</f>
        <v>John</v>
      </c>
      <c r="C16" s="19" t="str">
        <f>IFERROR(__xludf.DUMMYFUNCTION("""COMPUTED_VALUE"""),"JD")</f>
        <v>JD</v>
      </c>
      <c r="D16" s="19" t="str">
        <f>IFERROR(__xludf.DUMMYFUNCTION("""COMPUTED_VALUE"""),"Doe")</f>
        <v>Doe</v>
      </c>
      <c r="E16" s="19"/>
      <c r="F16" s="19" t="str">
        <f>IFERROR(__xludf.DUMMYFUNCTION("""COMPUTED_VALUE"""),"VP")</f>
        <v>VP</v>
      </c>
      <c r="G16" s="19"/>
      <c r="H16" s="19"/>
      <c r="I16" s="19" t="str">
        <f>IFERROR(__xludf.DUMMYFUNCTION("""COMPUTED_VALUE"""),"Hourly")</f>
        <v>Hourly</v>
      </c>
      <c r="J16" s="20">
        <f>IFERROR(__xludf.DUMMYFUNCTION("""COMPUTED_VALUE"""),45894.0)</f>
        <v>45894</v>
      </c>
      <c r="K16" s="19" t="str">
        <f>IFERROR(__xludf.DUMMYFUNCTION("""COMPUTED_VALUE"""),"Cost Variance - RSI")</f>
        <v>Cost Variance - RSI</v>
      </c>
      <c r="L16" s="19">
        <f>IFERROR(__xludf.DUMMYFUNCTION("""COMPUTED_VALUE"""),171.0)</f>
        <v>171</v>
      </c>
      <c r="M16" s="19" t="str">
        <f>IFERROR(__xludf.DUMMYFUNCTION("""COMPUTED_VALUE"""),"VS")</f>
        <v>VS</v>
      </c>
      <c r="N16" s="19" t="str">
        <f>IFERROR(__xludf.DUMMYFUNCTION("""COMPUTED_VALUE"""),"Vishal.srikanth@team-group.com")</f>
        <v>Vishal.srikanth@team-group.com</v>
      </c>
      <c r="O16" s="19" t="str">
        <f>IFERROR(__xludf.DUMMYFUNCTION("""COMPUTED_VALUE"""),"No")</f>
        <v>No</v>
      </c>
      <c r="P16" s="19" t="str">
        <f>IFERROR(__xludf.DUMMYFUNCTION("""COMPUTED_VALUE"""),"No")</f>
        <v>No</v>
      </c>
      <c r="Q16" s="19" t="str">
        <f>IFERROR(__xludf.DUMMYFUNCTION("""COMPUTED_VALUE"""),"No")</f>
        <v>No</v>
      </c>
      <c r="R16" s="19" t="str">
        <f>IFERROR(__xludf.DUMMYFUNCTION("""COMPUTED_VALUE"""),"No")</f>
        <v>No</v>
      </c>
      <c r="S16" s="19" t="str">
        <f>IFERROR(__xludf.DUMMYFUNCTION("""COMPUTED_VALUE"""),"No")</f>
        <v>No</v>
      </c>
      <c r="T16" s="19" t="str">
        <f>IFERROR(__xludf.DUMMYFUNCTION("""COMPUTED_VALUE"""),"No")</f>
        <v>No</v>
      </c>
      <c r="U16" s="19" t="str">
        <f>IFERROR(__xludf.DUMMYFUNCTION("""COMPUTED_VALUE"""),"No")</f>
        <v>No</v>
      </c>
      <c r="V16" s="19" t="str">
        <f>IFERROR(__xludf.DUMMYFUNCTION("""COMPUTED_VALUE"""),"No")</f>
        <v>No</v>
      </c>
      <c r="W16" s="19" t="str">
        <f>IFERROR(__xludf.DUMMYFUNCTION("""COMPUTED_VALUE"""),"No")</f>
        <v>No</v>
      </c>
      <c r="X16" s="19" t="str">
        <f>IFERROR(__xludf.DUMMYFUNCTION("""COMPUTED_VALUE"""),"No")</f>
        <v>No</v>
      </c>
      <c r="Y16" s="19" t="str">
        <f>IFERROR(__xludf.DUMMYFUNCTION("""COMPUTED_VALUE"""),"No")</f>
        <v>No</v>
      </c>
      <c r="Z16" s="19" t="str">
        <f>IFERROR(__xludf.DUMMYFUNCTION("""COMPUTED_VALUE"""),"No")</f>
        <v>No</v>
      </c>
      <c r="AA16" s="19" t="str">
        <f>IFERROR(__xludf.DUMMYFUNCTION("""COMPUTED_VALUE"""),"No")</f>
        <v>No</v>
      </c>
      <c r="AB16" s="19" t="str">
        <f>IFERROR(__xludf.DUMMYFUNCTION("""COMPUTED_VALUE"""),"No")</f>
        <v>No</v>
      </c>
      <c r="AC16" s="19" t="str">
        <f>IFERROR(__xludf.DUMMYFUNCTION("""COMPUTED_VALUE"""),"No")</f>
        <v>No</v>
      </c>
      <c r="AD16" s="19" t="str">
        <f>IFERROR(__xludf.DUMMYFUNCTION("""COMPUTED_VALUE"""),"No")</f>
        <v>No</v>
      </c>
      <c r="AE16" s="19" t="str">
        <f>IFERROR(__xludf.DUMMYFUNCTION("""COMPUTED_VALUE"""),"No")</f>
        <v>No</v>
      </c>
      <c r="AF16" s="19" t="str">
        <f>IFERROR(__xludf.DUMMYFUNCTION("""COMPUTED_VALUE"""),"No")</f>
        <v>No</v>
      </c>
      <c r="AG16" s="19" t="str">
        <f>IFERROR(__xludf.DUMMYFUNCTION("""COMPUTED_VALUE"""),"No")</f>
        <v>No</v>
      </c>
      <c r="AH16" s="19" t="str">
        <f>IFERROR(__xludf.DUMMYFUNCTION("""COMPUTED_VALUE"""),"No")</f>
        <v>No</v>
      </c>
      <c r="AI16" s="19" t="str">
        <f>IFERROR(__xludf.DUMMYFUNCTION("""COMPUTED_VALUE"""),"No")</f>
        <v>No</v>
      </c>
    </row>
    <row r="17" ht="22.5" customHeight="1">
      <c r="A17" s="19">
        <f>IFERROR(__xludf.DUMMYFUNCTION("""COMPUTED_VALUE"""),2.50806003E8)</f>
        <v>250806003</v>
      </c>
      <c r="B17" s="19" t="str">
        <f>IFERROR(__xludf.DUMMYFUNCTION("""COMPUTED_VALUE"""),"John")</f>
        <v>John</v>
      </c>
      <c r="C17" s="19" t="str">
        <f>IFERROR(__xludf.DUMMYFUNCTION("""COMPUTED_VALUE"""),"z")</f>
        <v>z</v>
      </c>
      <c r="D17" s="19" t="str">
        <f>IFERROR(__xludf.DUMMYFUNCTION("""COMPUTED_VALUE"""),"Doe")</f>
        <v>Doe</v>
      </c>
      <c r="E17" s="19" t="str">
        <f>IFERROR(__xludf.DUMMYFUNCTION("""COMPUTED_VALUE"""),"JZ")</f>
        <v>JZ</v>
      </c>
      <c r="F17" s="19" t="str">
        <f>IFERROR(__xludf.DUMMYFUNCTION("""COMPUTED_VALUE"""),"VP")</f>
        <v>VP</v>
      </c>
      <c r="G17" s="19" t="str">
        <f>IFERROR(__xludf.DUMMYFUNCTION("""COMPUTED_VALUE"""),"email")</f>
        <v>email</v>
      </c>
      <c r="H17" s="19">
        <f>IFERROR(__xludf.DUMMYFUNCTION("""COMPUTED_VALUE"""),123.0)</f>
        <v>123</v>
      </c>
      <c r="I17" s="19" t="str">
        <f>IFERROR(__xludf.DUMMYFUNCTION("""COMPUTED_VALUE"""),"Hourly")</f>
        <v>Hourly</v>
      </c>
      <c r="J17" s="20">
        <f>IFERROR(__xludf.DUMMYFUNCTION("""COMPUTED_VALUE"""),45896.0)</f>
        <v>45896</v>
      </c>
      <c r="K17" s="19" t="str">
        <f>IFERROR(__xludf.DUMMYFUNCTION("""COMPUTED_VALUE"""),"Finance")</f>
        <v>Finance</v>
      </c>
      <c r="L17" s="19">
        <f>IFERROR(__xludf.DUMMYFUNCTION("""COMPUTED_VALUE"""),44.0)</f>
        <v>44</v>
      </c>
      <c r="M17" s="19" t="str">
        <f>IFERROR(__xludf.DUMMYFUNCTION("""COMPUTED_VALUE"""),"Jane Doe")</f>
        <v>Jane Doe</v>
      </c>
      <c r="N17" s="19" t="str">
        <f>IFERROR(__xludf.DUMMYFUNCTION("""COMPUTED_VALUE"""),"Vishal.srikanth@team-group.com")</f>
        <v>Vishal.srikanth@team-group.com</v>
      </c>
      <c r="O17" s="19" t="str">
        <f>IFERROR(__xludf.DUMMYFUNCTION("""COMPUTED_VALUE"""),"Yes")</f>
        <v>Yes</v>
      </c>
      <c r="P17" s="19" t="str">
        <f>IFERROR(__xludf.DUMMYFUNCTION("""COMPUTED_VALUE"""),"Yes")</f>
        <v>Yes</v>
      </c>
      <c r="Q17" s="19" t="str">
        <f>IFERROR(__xludf.DUMMYFUNCTION("""COMPUTED_VALUE"""),"Yes")</f>
        <v>Yes</v>
      </c>
      <c r="R17" s="19" t="str">
        <f>IFERROR(__xludf.DUMMYFUNCTION("""COMPUTED_VALUE"""),"Yes")</f>
        <v>Yes</v>
      </c>
      <c r="S17" s="19" t="str">
        <f>IFERROR(__xludf.DUMMYFUNCTION("""COMPUTED_VALUE"""),"Yes")</f>
        <v>Yes</v>
      </c>
      <c r="T17" s="19" t="str">
        <f>IFERROR(__xludf.DUMMYFUNCTION("""COMPUTED_VALUE"""),"Yes")</f>
        <v>Yes</v>
      </c>
      <c r="U17" s="19" t="str">
        <f>IFERROR(__xludf.DUMMYFUNCTION("""COMPUTED_VALUE"""),"Yes")</f>
        <v>Yes</v>
      </c>
      <c r="V17" s="19" t="str">
        <f>IFERROR(__xludf.DUMMYFUNCTION("""COMPUTED_VALUE"""),"Yes")</f>
        <v>Yes</v>
      </c>
      <c r="W17" s="19" t="str">
        <f>IFERROR(__xludf.DUMMYFUNCTION("""COMPUTED_VALUE"""),"Yes")</f>
        <v>Yes</v>
      </c>
      <c r="X17" s="19" t="str">
        <f>IFERROR(__xludf.DUMMYFUNCTION("""COMPUTED_VALUE"""),"Yes")</f>
        <v>Yes</v>
      </c>
      <c r="Y17" s="19" t="str">
        <f>IFERROR(__xludf.DUMMYFUNCTION("""COMPUTED_VALUE"""),"Yes")</f>
        <v>Yes</v>
      </c>
      <c r="Z17" s="19" t="str">
        <f>IFERROR(__xludf.DUMMYFUNCTION("""COMPUTED_VALUE"""),"Yes")</f>
        <v>Yes</v>
      </c>
      <c r="AA17" s="19" t="str">
        <f>IFERROR(__xludf.DUMMYFUNCTION("""COMPUTED_VALUE"""),"Yes")</f>
        <v>Yes</v>
      </c>
      <c r="AB17" s="19" t="str">
        <f>IFERROR(__xludf.DUMMYFUNCTION("""COMPUTED_VALUE"""),"Yes")</f>
        <v>Yes</v>
      </c>
      <c r="AC17" s="19" t="str">
        <f>IFERROR(__xludf.DUMMYFUNCTION("""COMPUTED_VALUE"""),"Yes")</f>
        <v>Yes</v>
      </c>
      <c r="AD17" s="19" t="str">
        <f>IFERROR(__xludf.DUMMYFUNCTION("""COMPUTED_VALUE"""),"Yes")</f>
        <v>Yes</v>
      </c>
      <c r="AE17" s="19" t="str">
        <f>IFERROR(__xludf.DUMMYFUNCTION("""COMPUTED_VALUE"""),"Yes")</f>
        <v>Yes</v>
      </c>
      <c r="AF17" s="19" t="str">
        <f>IFERROR(__xludf.DUMMYFUNCTION("""COMPUTED_VALUE"""),"Yes")</f>
        <v>Yes</v>
      </c>
      <c r="AG17" s="19" t="str">
        <f>IFERROR(__xludf.DUMMYFUNCTION("""COMPUTED_VALUE"""),"Yes")</f>
        <v>Yes</v>
      </c>
      <c r="AH17" s="19" t="str">
        <f>IFERROR(__xludf.DUMMYFUNCTION("""COMPUTED_VALUE"""),"Yes")</f>
        <v>Yes</v>
      </c>
      <c r="AI17" s="19" t="str">
        <f>IFERROR(__xludf.DUMMYFUNCTION("""COMPUTED_VALUE"""),"Yes")</f>
        <v>Yes</v>
      </c>
    </row>
    <row r="18" ht="22.5" customHeight="1">
      <c r="A18" s="19">
        <f>IFERROR(__xludf.DUMMYFUNCTION("""COMPUTED_VALUE"""),2.50806004E8)</f>
        <v>250806004</v>
      </c>
      <c r="B18" s="19" t="str">
        <f>IFERROR(__xludf.DUMMYFUNCTION("""COMPUTED_VALUE"""),"John")</f>
        <v>John</v>
      </c>
      <c r="C18" s="19" t="str">
        <f>IFERROR(__xludf.DUMMYFUNCTION("""COMPUTED_VALUE"""),"JD")</f>
        <v>JD</v>
      </c>
      <c r="D18" s="19" t="str">
        <f>IFERROR(__xludf.DUMMYFUNCTION("""COMPUTED_VALUE"""),"Doe")</f>
        <v>Doe</v>
      </c>
      <c r="E18" s="19" t="str">
        <f>IFERROR(__xludf.DUMMYFUNCTION("""COMPUTED_VALUE"""),"JD")</f>
        <v>JD</v>
      </c>
      <c r="F18" s="19" t="str">
        <f>IFERROR(__xludf.DUMMYFUNCTION("""COMPUTED_VALUE"""),"VP")</f>
        <v>VP</v>
      </c>
      <c r="G18" s="19" t="str">
        <f>IFERROR(__xludf.DUMMYFUNCTION("""COMPUTED_VALUE"""),"email")</f>
        <v>email</v>
      </c>
      <c r="H18" s="19"/>
      <c r="I18" s="19" t="str">
        <f>IFERROR(__xludf.DUMMYFUNCTION("""COMPUTED_VALUE"""),"Hourly")</f>
        <v>Hourly</v>
      </c>
      <c r="J18" s="20">
        <f>IFERROR(__xludf.DUMMYFUNCTION("""COMPUTED_VALUE"""),45889.0)</f>
        <v>45889</v>
      </c>
      <c r="K18" s="19" t="str">
        <f>IFERROR(__xludf.DUMMYFUNCTION("""COMPUTED_VALUE"""),"GM Oshawa Assembly")</f>
        <v>GM Oshawa Assembly</v>
      </c>
      <c r="L18" s="19">
        <f>IFERROR(__xludf.DUMMYFUNCTION("""COMPUTED_VALUE"""),135.0)</f>
        <v>135</v>
      </c>
      <c r="M18" s="19" t="str">
        <f>IFERROR(__xludf.DUMMYFUNCTION("""COMPUTED_VALUE"""),"Jane Doe")</f>
        <v>Jane Doe</v>
      </c>
      <c r="N18" s="19" t="str">
        <f>IFERROR(__xludf.DUMMYFUNCTION("""COMPUTED_VALUE"""),"Vishal.srikanth@team-group.com")</f>
        <v>Vishal.srikanth@team-group.com</v>
      </c>
      <c r="O18" s="19" t="str">
        <f>IFERROR(__xludf.DUMMYFUNCTION("""COMPUTED_VALUE"""),"Yes")</f>
        <v>Yes</v>
      </c>
      <c r="P18" s="19" t="str">
        <f>IFERROR(__xludf.DUMMYFUNCTION("""COMPUTED_VALUE"""),"No")</f>
        <v>No</v>
      </c>
      <c r="Q18" s="19" t="str">
        <f>IFERROR(__xludf.DUMMYFUNCTION("""COMPUTED_VALUE"""),"No")</f>
        <v>No</v>
      </c>
      <c r="R18" s="19" t="str">
        <f>IFERROR(__xludf.DUMMYFUNCTION("""COMPUTED_VALUE"""),"No")</f>
        <v>No</v>
      </c>
      <c r="S18" s="19" t="str">
        <f>IFERROR(__xludf.DUMMYFUNCTION("""COMPUTED_VALUE"""),"Yes")</f>
        <v>Yes</v>
      </c>
      <c r="T18" s="19" t="str">
        <f>IFERROR(__xludf.DUMMYFUNCTION("""COMPUTED_VALUE"""),"No")</f>
        <v>No</v>
      </c>
      <c r="U18" s="19" t="str">
        <f>IFERROR(__xludf.DUMMYFUNCTION("""COMPUTED_VALUE"""),"Yes")</f>
        <v>Yes</v>
      </c>
      <c r="V18" s="19" t="str">
        <f>IFERROR(__xludf.DUMMYFUNCTION("""COMPUTED_VALUE"""),"No")</f>
        <v>No</v>
      </c>
      <c r="W18" s="19" t="str">
        <f>IFERROR(__xludf.DUMMYFUNCTION("""COMPUTED_VALUE"""),"Yes")</f>
        <v>Yes</v>
      </c>
      <c r="X18" s="19" t="str">
        <f>IFERROR(__xludf.DUMMYFUNCTION("""COMPUTED_VALUE"""),"No")</f>
        <v>No</v>
      </c>
      <c r="Y18" s="19" t="str">
        <f>IFERROR(__xludf.DUMMYFUNCTION("""COMPUTED_VALUE"""),"No")</f>
        <v>No</v>
      </c>
      <c r="Z18" s="19" t="str">
        <f>IFERROR(__xludf.DUMMYFUNCTION("""COMPUTED_VALUE"""),"No")</f>
        <v>No</v>
      </c>
      <c r="AA18" s="19" t="str">
        <f>IFERROR(__xludf.DUMMYFUNCTION("""COMPUTED_VALUE"""),"No")</f>
        <v>No</v>
      </c>
      <c r="AB18" s="19" t="str">
        <f>IFERROR(__xludf.DUMMYFUNCTION("""COMPUTED_VALUE"""),"No")</f>
        <v>No</v>
      </c>
      <c r="AC18" s="19" t="str">
        <f>IFERROR(__xludf.DUMMYFUNCTION("""COMPUTED_VALUE"""),"No")</f>
        <v>No</v>
      </c>
      <c r="AD18" s="19" t="str">
        <f>IFERROR(__xludf.DUMMYFUNCTION("""COMPUTED_VALUE"""),"No")</f>
        <v>No</v>
      </c>
      <c r="AE18" s="19" t="str">
        <f>IFERROR(__xludf.DUMMYFUNCTION("""COMPUTED_VALUE"""),"Yes")</f>
        <v>Yes</v>
      </c>
      <c r="AF18" s="19" t="str">
        <f>IFERROR(__xludf.DUMMYFUNCTION("""COMPUTED_VALUE"""),"No")</f>
        <v>No</v>
      </c>
      <c r="AG18" s="19" t="str">
        <f>IFERROR(__xludf.DUMMYFUNCTION("""COMPUTED_VALUE"""),"No")</f>
        <v>No</v>
      </c>
      <c r="AH18" s="19" t="str">
        <f>IFERROR(__xludf.DUMMYFUNCTION("""COMPUTED_VALUE"""),"Yes")</f>
        <v>Yes</v>
      </c>
      <c r="AI18" s="19" t="str">
        <f>IFERROR(__xludf.DUMMYFUNCTION("""COMPUTED_VALUE"""),"No")</f>
        <v>No</v>
      </c>
    </row>
    <row r="19" ht="22.5" customHeight="1">
      <c r="A19" s="19">
        <f>IFERROR(__xludf.DUMMYFUNCTION("""COMPUTED_VALUE"""),2.50807001E8)</f>
        <v>250807001</v>
      </c>
      <c r="B19" s="19" t="str">
        <f>IFERROR(__xludf.DUMMYFUNCTION("""COMPUTED_VALUE"""),"John")</f>
        <v>John</v>
      </c>
      <c r="C19" s="19" t="str">
        <f>IFERROR(__xludf.DUMMYFUNCTION("""COMPUTED_VALUE"""),"JD")</f>
        <v>JD</v>
      </c>
      <c r="D19" s="19" t="str">
        <f>IFERROR(__xludf.DUMMYFUNCTION("""COMPUTED_VALUE"""),"Doe")</f>
        <v>Doe</v>
      </c>
      <c r="E19" s="19" t="str">
        <f>IFERROR(__xludf.DUMMYFUNCTION("""COMPUTED_VALUE"""),"JD")</f>
        <v>JD</v>
      </c>
      <c r="F19" s="19" t="str">
        <f>IFERROR(__xludf.DUMMYFUNCTION("""COMPUTED_VALUE"""),"VP")</f>
        <v>VP</v>
      </c>
      <c r="G19" s="19" t="str">
        <f>IFERROR(__xludf.DUMMYFUNCTION("""COMPUTED_VALUE"""),"email")</f>
        <v>email</v>
      </c>
      <c r="H19" s="19">
        <f>IFERROR(__xludf.DUMMYFUNCTION("""COMPUTED_VALUE"""),123.0)</f>
        <v>123</v>
      </c>
      <c r="I19" s="19" t="str">
        <f>IFERROR(__xludf.DUMMYFUNCTION("""COMPUTED_VALUE"""),"Hourly")</f>
        <v>Hourly</v>
      </c>
      <c r="J19" s="20">
        <f>IFERROR(__xludf.DUMMYFUNCTION("""COMPUTED_VALUE"""),45877.0)</f>
        <v>45877</v>
      </c>
      <c r="K19" s="19" t="str">
        <f>IFERROR(__xludf.DUMMYFUNCTION("""COMPUTED_VALUE"""),"Decostar Industries")</f>
        <v>Decostar Industries</v>
      </c>
      <c r="L19" s="19">
        <f>IFERROR(__xludf.DUMMYFUNCTION("""COMPUTED_VALUE"""),132.0)</f>
        <v>132</v>
      </c>
      <c r="M19" s="19" t="str">
        <f>IFERROR(__xludf.DUMMYFUNCTION("""COMPUTED_VALUE"""),"Jane Doe")</f>
        <v>Jane Doe</v>
      </c>
      <c r="N19" s="19" t="str">
        <f>IFERROR(__xludf.DUMMYFUNCTION("""COMPUTED_VALUE"""),"Vishal.srikanth@team-group.com")</f>
        <v>Vishal.srikanth@team-group.com</v>
      </c>
      <c r="O19" s="19" t="str">
        <f>IFERROR(__xludf.DUMMYFUNCTION("""COMPUTED_VALUE"""),"Yes")</f>
        <v>Yes</v>
      </c>
      <c r="P19" s="19" t="str">
        <f>IFERROR(__xludf.DUMMYFUNCTION("""COMPUTED_VALUE"""),"Yes")</f>
        <v>Yes</v>
      </c>
      <c r="Q19" s="19" t="str">
        <f>IFERROR(__xludf.DUMMYFUNCTION("""COMPUTED_VALUE"""),"Yes")</f>
        <v>Yes</v>
      </c>
      <c r="R19" s="19" t="str">
        <f>IFERROR(__xludf.DUMMYFUNCTION("""COMPUTED_VALUE"""),"Yes")</f>
        <v>Yes</v>
      </c>
      <c r="S19" s="19" t="str">
        <f>IFERROR(__xludf.DUMMYFUNCTION("""COMPUTED_VALUE"""),"Yes")</f>
        <v>Yes</v>
      </c>
      <c r="T19" s="19" t="str">
        <f>IFERROR(__xludf.DUMMYFUNCTION("""COMPUTED_VALUE"""),"Yes")</f>
        <v>Yes</v>
      </c>
      <c r="U19" s="19" t="str">
        <f>IFERROR(__xludf.DUMMYFUNCTION("""COMPUTED_VALUE"""),"Yes")</f>
        <v>Yes</v>
      </c>
      <c r="V19" s="19" t="str">
        <f>IFERROR(__xludf.DUMMYFUNCTION("""COMPUTED_VALUE"""),"Yes")</f>
        <v>Yes</v>
      </c>
      <c r="W19" s="19" t="str">
        <f>IFERROR(__xludf.DUMMYFUNCTION("""COMPUTED_VALUE"""),"Yes")</f>
        <v>Yes</v>
      </c>
      <c r="X19" s="19" t="str">
        <f>IFERROR(__xludf.DUMMYFUNCTION("""COMPUTED_VALUE"""),"Yes")</f>
        <v>Yes</v>
      </c>
      <c r="Y19" s="19" t="str">
        <f>IFERROR(__xludf.DUMMYFUNCTION("""COMPUTED_VALUE"""),"Yes")</f>
        <v>Yes</v>
      </c>
      <c r="Z19" s="19" t="str">
        <f>IFERROR(__xludf.DUMMYFUNCTION("""COMPUTED_VALUE"""),"Yes")</f>
        <v>Yes</v>
      </c>
      <c r="AA19" s="19" t="str">
        <f>IFERROR(__xludf.DUMMYFUNCTION("""COMPUTED_VALUE"""),"Yes")</f>
        <v>Yes</v>
      </c>
      <c r="AB19" s="19" t="str">
        <f>IFERROR(__xludf.DUMMYFUNCTION("""COMPUTED_VALUE"""),"Yes")</f>
        <v>Yes</v>
      </c>
      <c r="AC19" s="19" t="str">
        <f>IFERROR(__xludf.DUMMYFUNCTION("""COMPUTED_VALUE"""),"Yes")</f>
        <v>Yes</v>
      </c>
      <c r="AD19" s="19" t="str">
        <f>IFERROR(__xludf.DUMMYFUNCTION("""COMPUTED_VALUE"""),"Yes")</f>
        <v>Yes</v>
      </c>
      <c r="AE19" s="19" t="str">
        <f>IFERROR(__xludf.DUMMYFUNCTION("""COMPUTED_VALUE"""),"Yes")</f>
        <v>Yes</v>
      </c>
      <c r="AF19" s="19" t="str">
        <f>IFERROR(__xludf.DUMMYFUNCTION("""COMPUTED_VALUE"""),"Yes")</f>
        <v>Yes</v>
      </c>
      <c r="AG19" s="19" t="str">
        <f>IFERROR(__xludf.DUMMYFUNCTION("""COMPUTED_VALUE"""),"Yes")</f>
        <v>Yes</v>
      </c>
      <c r="AH19" s="19" t="str">
        <f>IFERROR(__xludf.DUMMYFUNCTION("""COMPUTED_VALUE"""),"Yes")</f>
        <v>Yes</v>
      </c>
      <c r="AI19" s="19" t="str">
        <f>IFERROR(__xludf.DUMMYFUNCTION("""COMPUTED_VALUE"""),"Yes")</f>
        <v>Yes</v>
      </c>
    </row>
    <row r="20" ht="22.5" customHeight="1">
      <c r="A20" s="19">
        <f>IFERROR(__xludf.DUMMYFUNCTION("""COMPUTED_VALUE"""),2.50807002E8)</f>
        <v>250807002</v>
      </c>
      <c r="B20" s="19" t="str">
        <f>IFERROR(__xludf.DUMMYFUNCTION("""COMPUTED_VALUE"""),"John")</f>
        <v>John</v>
      </c>
      <c r="C20" s="19" t="str">
        <f>IFERROR(__xludf.DUMMYFUNCTION("""COMPUTED_VALUE"""),"JD")</f>
        <v>JD</v>
      </c>
      <c r="D20" s="19" t="str">
        <f>IFERROR(__xludf.DUMMYFUNCTION("""COMPUTED_VALUE"""),"Doe")</f>
        <v>Doe</v>
      </c>
      <c r="E20" s="19" t="str">
        <f>IFERROR(__xludf.DUMMYFUNCTION("""COMPUTED_VALUE"""),"JD")</f>
        <v>JD</v>
      </c>
      <c r="F20" s="19" t="str">
        <f>IFERROR(__xludf.DUMMYFUNCTION("""COMPUTED_VALUE"""),"VP")</f>
        <v>VP</v>
      </c>
      <c r="G20" s="19" t="str">
        <f>IFERROR(__xludf.DUMMYFUNCTION("""COMPUTED_VALUE"""),"email")</f>
        <v>email</v>
      </c>
      <c r="H20" s="19">
        <f>IFERROR(__xludf.DUMMYFUNCTION("""COMPUTED_VALUE"""),123.0)</f>
        <v>123</v>
      </c>
      <c r="I20" s="19" t="str">
        <f>IFERROR(__xludf.DUMMYFUNCTION("""COMPUTED_VALUE"""),"Salary")</f>
        <v>Salary</v>
      </c>
      <c r="J20" s="20">
        <f>IFERROR(__xludf.DUMMYFUNCTION("""COMPUTED_VALUE"""),45881.0)</f>
        <v>45881</v>
      </c>
      <c r="K20" s="19" t="str">
        <f>IFERROR(__xludf.DUMMYFUNCTION("""COMPUTED_VALUE"""),"BMW Spartanburg Assembly")</f>
        <v>BMW Spartanburg Assembly</v>
      </c>
      <c r="L20" s="19">
        <f>IFERROR(__xludf.DUMMYFUNCTION("""COMPUTED_VALUE"""),120.0)</f>
        <v>120</v>
      </c>
      <c r="M20" s="19" t="str">
        <f>IFERROR(__xludf.DUMMYFUNCTION("""COMPUTED_VALUE"""),"Jane Doe")</f>
        <v>Jane Doe</v>
      </c>
      <c r="N20" s="19" t="str">
        <f>IFERROR(__xludf.DUMMYFUNCTION("""COMPUTED_VALUE"""),"Vishal.srikanth@team-group.com")</f>
        <v>Vishal.srikanth@team-group.com</v>
      </c>
      <c r="O20" s="19" t="str">
        <f>IFERROR(__xludf.DUMMYFUNCTION("""COMPUTED_VALUE"""),"Yes")</f>
        <v>Yes</v>
      </c>
      <c r="P20" s="19" t="str">
        <f>IFERROR(__xludf.DUMMYFUNCTION("""COMPUTED_VALUE"""),"Yes")</f>
        <v>Yes</v>
      </c>
      <c r="Q20" s="19" t="str">
        <f>IFERROR(__xludf.DUMMYFUNCTION("""COMPUTED_VALUE"""),"Yes")</f>
        <v>Yes</v>
      </c>
      <c r="R20" s="19" t="str">
        <f>IFERROR(__xludf.DUMMYFUNCTION("""COMPUTED_VALUE"""),"Yes")</f>
        <v>Yes</v>
      </c>
      <c r="S20" s="19" t="str">
        <f>IFERROR(__xludf.DUMMYFUNCTION("""COMPUTED_VALUE"""),"Yes")</f>
        <v>Yes</v>
      </c>
      <c r="T20" s="19" t="str">
        <f>IFERROR(__xludf.DUMMYFUNCTION("""COMPUTED_VALUE"""),"Yes")</f>
        <v>Yes</v>
      </c>
      <c r="U20" s="19" t="str">
        <f>IFERROR(__xludf.DUMMYFUNCTION("""COMPUTED_VALUE"""),"Yes")</f>
        <v>Yes</v>
      </c>
      <c r="V20" s="19" t="str">
        <f>IFERROR(__xludf.DUMMYFUNCTION("""COMPUTED_VALUE"""),"Yes")</f>
        <v>Yes</v>
      </c>
      <c r="W20" s="19" t="str">
        <f>IFERROR(__xludf.DUMMYFUNCTION("""COMPUTED_VALUE"""),"Yes")</f>
        <v>Yes</v>
      </c>
      <c r="X20" s="19" t="str">
        <f>IFERROR(__xludf.DUMMYFUNCTION("""COMPUTED_VALUE"""),"Yes")</f>
        <v>Yes</v>
      </c>
      <c r="Y20" s="19" t="str">
        <f>IFERROR(__xludf.DUMMYFUNCTION("""COMPUTED_VALUE"""),"Yes")</f>
        <v>Yes</v>
      </c>
      <c r="Z20" s="19" t="str">
        <f>IFERROR(__xludf.DUMMYFUNCTION("""COMPUTED_VALUE"""),"Yes")</f>
        <v>Yes</v>
      </c>
      <c r="AA20" s="19" t="str">
        <f>IFERROR(__xludf.DUMMYFUNCTION("""COMPUTED_VALUE"""),"Yes")</f>
        <v>Yes</v>
      </c>
      <c r="AB20" s="19" t="str">
        <f>IFERROR(__xludf.DUMMYFUNCTION("""COMPUTED_VALUE"""),"Yes")</f>
        <v>Yes</v>
      </c>
      <c r="AC20" s="19" t="str">
        <f>IFERROR(__xludf.DUMMYFUNCTION("""COMPUTED_VALUE"""),"Yes")</f>
        <v>Yes</v>
      </c>
      <c r="AD20" s="19" t="str">
        <f>IFERROR(__xludf.DUMMYFUNCTION("""COMPUTED_VALUE"""),"Yes")</f>
        <v>Yes</v>
      </c>
      <c r="AE20" s="19" t="str">
        <f>IFERROR(__xludf.DUMMYFUNCTION("""COMPUTED_VALUE"""),"Yes")</f>
        <v>Yes</v>
      </c>
      <c r="AF20" s="19" t="str">
        <f>IFERROR(__xludf.DUMMYFUNCTION("""COMPUTED_VALUE"""),"Yes")</f>
        <v>Yes</v>
      </c>
      <c r="AG20" s="19" t="str">
        <f>IFERROR(__xludf.DUMMYFUNCTION("""COMPUTED_VALUE"""),"Yes")</f>
        <v>Yes</v>
      </c>
      <c r="AH20" s="19" t="str">
        <f>IFERROR(__xludf.DUMMYFUNCTION("""COMPUTED_VALUE"""),"Yes")</f>
        <v>Yes</v>
      </c>
      <c r="AI20" s="19" t="str">
        <f>IFERROR(__xludf.DUMMYFUNCTION("""COMPUTED_VALUE"""),"Yes")</f>
        <v>Yes</v>
      </c>
    </row>
    <row r="21" ht="22.5" customHeight="1">
      <c r="A21" s="19">
        <f>IFERROR(__xludf.DUMMYFUNCTION("""COMPUTED_VALUE"""),2.50808007E8)</f>
        <v>250808007</v>
      </c>
      <c r="B21" s="19" t="str">
        <f>IFERROR(__xludf.DUMMYFUNCTION("""COMPUTED_VALUE"""),"John")</f>
        <v>John</v>
      </c>
      <c r="C21" s="19" t="str">
        <f>IFERROR(__xludf.DUMMYFUNCTION("""COMPUTED_VALUE"""),"JD")</f>
        <v>JD</v>
      </c>
      <c r="D21" s="19" t="str">
        <f>IFERROR(__xludf.DUMMYFUNCTION("""COMPUTED_VALUE"""),"Doe")</f>
        <v>Doe</v>
      </c>
      <c r="E21" s="19" t="str">
        <f>IFERROR(__xludf.DUMMYFUNCTION("""COMPUTED_VALUE"""),"JD")</f>
        <v>JD</v>
      </c>
      <c r="F21" s="19" t="str">
        <f>IFERROR(__xludf.DUMMYFUNCTION("""COMPUTED_VALUE"""),"VP")</f>
        <v>VP</v>
      </c>
      <c r="G21" s="19" t="str">
        <f>IFERROR(__xludf.DUMMYFUNCTION("""COMPUTED_VALUE"""),"email")</f>
        <v>email</v>
      </c>
      <c r="H21" s="19">
        <f>IFERROR(__xludf.DUMMYFUNCTION("""COMPUTED_VALUE"""),123.0)</f>
        <v>123</v>
      </c>
      <c r="I21" s="19" t="str">
        <f>IFERROR(__xludf.DUMMYFUNCTION("""COMPUTED_VALUE"""),"Salary")</f>
        <v>Salary</v>
      </c>
      <c r="J21" s="20">
        <f>IFERROR(__xludf.DUMMYFUNCTION("""COMPUTED_VALUE"""),45896.0)</f>
        <v>45896</v>
      </c>
      <c r="K21" s="19" t="str">
        <f>IFERROR(__xludf.DUMMYFUNCTION("""COMPUTED_VALUE"""),"Burns MacDonald")</f>
        <v>Burns MacDonald</v>
      </c>
      <c r="L21" s="19" t="str">
        <f>IFERROR(__xludf.DUMMYFUNCTION("""COMPUTED_VALUE"""),"TC014")</f>
        <v>TC014</v>
      </c>
      <c r="M21" s="19" t="str">
        <f>IFERROR(__xludf.DUMMYFUNCTION("""COMPUTED_VALUE"""),"Jane Doe")</f>
        <v>Jane Doe</v>
      </c>
      <c r="N21" s="19" t="str">
        <f>IFERROR(__xludf.DUMMYFUNCTION("""COMPUTED_VALUE"""),"Vishal.srikanth@team-group.com")</f>
        <v>Vishal.srikanth@team-group.com</v>
      </c>
      <c r="O21" s="19" t="str">
        <f>IFERROR(__xludf.DUMMYFUNCTION("""COMPUTED_VALUE"""),"Yes")</f>
        <v>Yes</v>
      </c>
      <c r="P21" s="19" t="str">
        <f>IFERROR(__xludf.DUMMYFUNCTION("""COMPUTED_VALUE"""),"Yes")</f>
        <v>Yes</v>
      </c>
      <c r="Q21" s="19" t="str">
        <f>IFERROR(__xludf.DUMMYFUNCTION("""COMPUTED_VALUE"""),"Yes")</f>
        <v>Yes</v>
      </c>
      <c r="R21" s="19" t="str">
        <f>IFERROR(__xludf.DUMMYFUNCTION("""COMPUTED_VALUE"""),"No")</f>
        <v>No</v>
      </c>
      <c r="S21" s="19" t="str">
        <f>IFERROR(__xludf.DUMMYFUNCTION("""COMPUTED_VALUE"""),"No")</f>
        <v>No</v>
      </c>
      <c r="T21" s="19" t="str">
        <f>IFERROR(__xludf.DUMMYFUNCTION("""COMPUTED_VALUE"""),"No")</f>
        <v>No</v>
      </c>
      <c r="U21" s="19" t="str">
        <f>IFERROR(__xludf.DUMMYFUNCTION("""COMPUTED_VALUE"""),"No")</f>
        <v>No</v>
      </c>
      <c r="V21" s="19" t="str">
        <f>IFERROR(__xludf.DUMMYFUNCTION("""COMPUTED_VALUE"""),"No")</f>
        <v>No</v>
      </c>
      <c r="W21" s="19" t="str">
        <f>IFERROR(__xludf.DUMMYFUNCTION("""COMPUTED_VALUE"""),"Yes")</f>
        <v>Yes</v>
      </c>
      <c r="X21" s="19" t="str">
        <f>IFERROR(__xludf.DUMMYFUNCTION("""COMPUTED_VALUE"""),"No")</f>
        <v>No</v>
      </c>
      <c r="Y21" s="19" t="str">
        <f>IFERROR(__xludf.DUMMYFUNCTION("""COMPUTED_VALUE"""),"No")</f>
        <v>No</v>
      </c>
      <c r="Z21" s="19" t="str">
        <f>IFERROR(__xludf.DUMMYFUNCTION("""COMPUTED_VALUE"""),"No")</f>
        <v>No</v>
      </c>
      <c r="AA21" s="19" t="str">
        <f>IFERROR(__xludf.DUMMYFUNCTION("""COMPUTED_VALUE"""),"No")</f>
        <v>No</v>
      </c>
      <c r="AB21" s="19"/>
      <c r="AC21" s="19" t="str">
        <f>IFERROR(__xludf.DUMMYFUNCTION("""COMPUTED_VALUE"""),"No")</f>
        <v>No</v>
      </c>
      <c r="AD21" s="19" t="str">
        <f>IFERROR(__xludf.DUMMYFUNCTION("""COMPUTED_VALUE"""),"No")</f>
        <v>No</v>
      </c>
      <c r="AE21" s="19" t="str">
        <f>IFERROR(__xludf.DUMMYFUNCTION("""COMPUTED_VALUE"""),"No")</f>
        <v>No</v>
      </c>
      <c r="AF21" s="19" t="str">
        <f>IFERROR(__xludf.DUMMYFUNCTION("""COMPUTED_VALUE"""),"No")</f>
        <v>No</v>
      </c>
      <c r="AG21" s="19" t="str">
        <f>IFERROR(__xludf.DUMMYFUNCTION("""COMPUTED_VALUE"""),"Yes")</f>
        <v>Yes</v>
      </c>
      <c r="AH21" s="19" t="str">
        <f>IFERROR(__xludf.DUMMYFUNCTION("""COMPUTED_VALUE"""),"No")</f>
        <v>No</v>
      </c>
      <c r="AI21" s="19"/>
    </row>
    <row r="22" ht="22.5" customHeight="1">
      <c r="A22" s="19">
        <f>IFERROR(__xludf.DUMMYFUNCTION("""COMPUTED_VALUE"""),2.5080801E8)</f>
        <v>250808010</v>
      </c>
      <c r="B22" s="19" t="str">
        <f>IFERROR(__xludf.DUMMYFUNCTION("""COMPUTED_VALUE"""),"John")</f>
        <v>John</v>
      </c>
      <c r="C22" s="19" t="str">
        <f>IFERROR(__xludf.DUMMYFUNCTION("""COMPUTED_VALUE"""),"JD")</f>
        <v>JD</v>
      </c>
      <c r="D22" s="19" t="str">
        <f>IFERROR(__xludf.DUMMYFUNCTION("""COMPUTED_VALUE"""),"Doe")</f>
        <v>Doe</v>
      </c>
      <c r="E22" s="19" t="str">
        <f>IFERROR(__xludf.DUMMYFUNCTION("""COMPUTED_VALUE"""),"JD")</f>
        <v>JD</v>
      </c>
      <c r="F22" s="19" t="str">
        <f>IFERROR(__xludf.DUMMYFUNCTION("""COMPUTED_VALUE"""),"VP")</f>
        <v>VP</v>
      </c>
      <c r="G22" s="19" t="str">
        <f>IFERROR(__xludf.DUMMYFUNCTION("""COMPUTED_VALUE"""),"email")</f>
        <v>email</v>
      </c>
      <c r="H22" s="19"/>
      <c r="I22" s="19" t="str">
        <f>IFERROR(__xludf.DUMMYFUNCTION("""COMPUTED_VALUE"""),"Salary")</f>
        <v>Salary</v>
      </c>
      <c r="J22" s="20">
        <f>IFERROR(__xludf.DUMMYFUNCTION("""COMPUTED_VALUE"""),45897.0)</f>
        <v>45897</v>
      </c>
      <c r="K22" s="19" t="str">
        <f>IFERROR(__xludf.DUMMYFUNCTION("""COMPUTED_VALUE"""),"Chrysler Brampton GSO")</f>
        <v>Chrysler Brampton GSO</v>
      </c>
      <c r="L22" s="19" t="str">
        <f>IFERROR(__xludf.DUMMYFUNCTION("""COMPUTED_VALUE"""),"TC800")</f>
        <v>TC800</v>
      </c>
      <c r="M22" s="19"/>
      <c r="N22" s="19"/>
      <c r="O22" s="19" t="str">
        <f>IFERROR(__xludf.DUMMYFUNCTION("""COMPUTED_VALUE"""),"Yes")</f>
        <v>Yes</v>
      </c>
      <c r="P22" s="19" t="str">
        <f>IFERROR(__xludf.DUMMYFUNCTION("""COMPUTED_VALUE"""),"Yes")</f>
        <v>Yes</v>
      </c>
      <c r="Q22" s="19" t="str">
        <f>IFERROR(__xludf.DUMMYFUNCTION("""COMPUTED_VALUE"""),"No")</f>
        <v>No</v>
      </c>
      <c r="R22" s="19" t="str">
        <f>IFERROR(__xludf.DUMMYFUNCTION("""COMPUTED_VALUE"""),"No")</f>
        <v>No</v>
      </c>
      <c r="S22" s="19" t="str">
        <f>IFERROR(__xludf.DUMMYFUNCTION("""COMPUTED_VALUE"""),"No")</f>
        <v>No</v>
      </c>
      <c r="T22" s="19" t="str">
        <f>IFERROR(__xludf.DUMMYFUNCTION("""COMPUTED_VALUE"""),"No")</f>
        <v>No</v>
      </c>
      <c r="U22" s="19" t="str">
        <f>IFERROR(__xludf.DUMMYFUNCTION("""COMPUTED_VALUE"""),"No")</f>
        <v>No</v>
      </c>
      <c r="V22" s="19" t="str">
        <f>IFERROR(__xludf.DUMMYFUNCTION("""COMPUTED_VALUE"""),"No")</f>
        <v>No</v>
      </c>
      <c r="W22" s="19" t="str">
        <f>IFERROR(__xludf.DUMMYFUNCTION("""COMPUTED_VALUE"""),"No")</f>
        <v>No</v>
      </c>
      <c r="X22" s="19" t="str">
        <f>IFERROR(__xludf.DUMMYFUNCTION("""COMPUTED_VALUE"""),"No")</f>
        <v>No</v>
      </c>
      <c r="Y22" s="19" t="str">
        <f>IFERROR(__xludf.DUMMYFUNCTION("""COMPUTED_VALUE"""),"No")</f>
        <v>No</v>
      </c>
      <c r="Z22" s="19" t="str">
        <f>IFERROR(__xludf.DUMMYFUNCTION("""COMPUTED_VALUE"""),"No")</f>
        <v>No</v>
      </c>
      <c r="AA22" s="19" t="str">
        <f>IFERROR(__xludf.DUMMYFUNCTION("""COMPUTED_VALUE"""),"No")</f>
        <v>No</v>
      </c>
      <c r="AB22" s="19"/>
      <c r="AC22" s="19" t="str">
        <f>IFERROR(__xludf.DUMMYFUNCTION("""COMPUTED_VALUE"""),"No")</f>
        <v>No</v>
      </c>
      <c r="AD22" s="19" t="str">
        <f>IFERROR(__xludf.DUMMYFUNCTION("""COMPUTED_VALUE"""),"No")</f>
        <v>No</v>
      </c>
      <c r="AE22" s="19" t="str">
        <f>IFERROR(__xludf.DUMMYFUNCTION("""COMPUTED_VALUE"""),"Yes")</f>
        <v>Yes</v>
      </c>
      <c r="AF22" s="19" t="str">
        <f>IFERROR(__xludf.DUMMYFUNCTION("""COMPUTED_VALUE"""),"No")</f>
        <v>No</v>
      </c>
      <c r="AG22" s="19" t="str">
        <f>IFERROR(__xludf.DUMMYFUNCTION("""COMPUTED_VALUE"""),"No")</f>
        <v>No</v>
      </c>
      <c r="AH22" s="19" t="str">
        <f>IFERROR(__xludf.DUMMYFUNCTION("""COMPUTED_VALUE"""),"No")</f>
        <v>No</v>
      </c>
      <c r="AI22" s="19"/>
    </row>
    <row r="23" ht="22.5" customHeight="1">
      <c r="A23" s="19">
        <f>IFERROR(__xludf.DUMMYFUNCTION("""COMPUTED_VALUE"""),2.50808011E8)</f>
        <v>250808011</v>
      </c>
      <c r="B23" s="19"/>
      <c r="C23" s="19"/>
      <c r="D23" s="19"/>
      <c r="E23" s="19"/>
      <c r="F23" s="19"/>
      <c r="G23" s="19" t="str">
        <f>IFERROR(__xludf.DUMMYFUNCTION("""COMPUTED_VALUE"""),"email")</f>
        <v>email</v>
      </c>
      <c r="H23" s="19"/>
      <c r="I23" s="19" t="str">
        <f>IFERROR(__xludf.DUMMYFUNCTION("""COMPUTED_VALUE"""),"Salary")</f>
        <v>Salary</v>
      </c>
      <c r="J23" s="20">
        <f>IFERROR(__xludf.DUMMYFUNCTION("""COMPUTED_VALUE"""),45896.0)</f>
        <v>45896</v>
      </c>
      <c r="K23" s="19" t="str">
        <f>IFERROR(__xludf.DUMMYFUNCTION("""COMPUTED_VALUE"""),"Toyota Burnaston")</f>
        <v>Toyota Burnaston</v>
      </c>
      <c r="L23" s="19" t="str">
        <f>IFERROR(__xludf.DUMMYFUNCTION("""COMPUTED_VALUE"""),"UP168")</f>
        <v>UP168</v>
      </c>
      <c r="M23" s="19" t="str">
        <f>IFERROR(__xludf.DUMMYFUNCTION("""COMPUTED_VALUE"""),"Jane Doe")</f>
        <v>Jane Doe</v>
      </c>
      <c r="N23" s="19" t="str">
        <f>IFERROR(__xludf.DUMMYFUNCTION("""COMPUTED_VALUE"""),"Vishal.srikanth@team-group.com")</f>
        <v>Vishal.srikanth@team-group.com</v>
      </c>
      <c r="O23" s="19" t="str">
        <f>IFERROR(__xludf.DUMMYFUNCTION("""COMPUTED_VALUE"""),"Yes")</f>
        <v>Yes</v>
      </c>
      <c r="P23" s="19" t="str">
        <f>IFERROR(__xludf.DUMMYFUNCTION("""COMPUTED_VALUE"""),"Yes")</f>
        <v>Yes</v>
      </c>
      <c r="Q23" s="19" t="str">
        <f>IFERROR(__xludf.DUMMYFUNCTION("""COMPUTED_VALUE"""),"No")</f>
        <v>No</v>
      </c>
      <c r="R23" s="19" t="str">
        <f>IFERROR(__xludf.DUMMYFUNCTION("""COMPUTED_VALUE"""),"No")</f>
        <v>No</v>
      </c>
      <c r="S23" s="19" t="str">
        <f>IFERROR(__xludf.DUMMYFUNCTION("""COMPUTED_VALUE"""),"No")</f>
        <v>No</v>
      </c>
      <c r="T23" s="19" t="str">
        <f>IFERROR(__xludf.DUMMYFUNCTION("""COMPUTED_VALUE"""),"No")</f>
        <v>No</v>
      </c>
      <c r="U23" s="19" t="str">
        <f>IFERROR(__xludf.DUMMYFUNCTION("""COMPUTED_VALUE"""),"No")</f>
        <v>No</v>
      </c>
      <c r="V23" s="19" t="str">
        <f>IFERROR(__xludf.DUMMYFUNCTION("""COMPUTED_VALUE"""),"No")</f>
        <v>No</v>
      </c>
      <c r="W23" s="19" t="str">
        <f>IFERROR(__xludf.DUMMYFUNCTION("""COMPUTED_VALUE"""),"No")</f>
        <v>No</v>
      </c>
      <c r="X23" s="19" t="str">
        <f>IFERROR(__xludf.DUMMYFUNCTION("""COMPUTED_VALUE"""),"No")</f>
        <v>No</v>
      </c>
      <c r="Y23" s="19" t="str">
        <f>IFERROR(__xludf.DUMMYFUNCTION("""COMPUTED_VALUE"""),"No")</f>
        <v>No</v>
      </c>
      <c r="Z23" s="19" t="str">
        <f>IFERROR(__xludf.DUMMYFUNCTION("""COMPUTED_VALUE"""),"No")</f>
        <v>No</v>
      </c>
      <c r="AA23" s="19" t="str">
        <f>IFERROR(__xludf.DUMMYFUNCTION("""COMPUTED_VALUE"""),"No")</f>
        <v>No</v>
      </c>
      <c r="AB23" s="19"/>
      <c r="AC23" s="19" t="str">
        <f>IFERROR(__xludf.DUMMYFUNCTION("""COMPUTED_VALUE"""),"No")</f>
        <v>No</v>
      </c>
      <c r="AD23" s="19" t="str">
        <f>IFERROR(__xludf.DUMMYFUNCTION("""COMPUTED_VALUE"""),"No")</f>
        <v>No</v>
      </c>
      <c r="AE23" s="19" t="str">
        <f>IFERROR(__xludf.DUMMYFUNCTION("""COMPUTED_VALUE"""),"Yes")</f>
        <v>Yes</v>
      </c>
      <c r="AF23" s="19" t="str">
        <f>IFERROR(__xludf.DUMMYFUNCTION("""COMPUTED_VALUE"""),"No")</f>
        <v>No</v>
      </c>
      <c r="AG23" s="19" t="str">
        <f>IFERROR(__xludf.DUMMYFUNCTION("""COMPUTED_VALUE"""),"No")</f>
        <v>No</v>
      </c>
      <c r="AH23" s="19" t="str">
        <f>IFERROR(__xludf.DUMMYFUNCTION("""COMPUTED_VALUE"""),"No")</f>
        <v>No</v>
      </c>
      <c r="AI23" s="19"/>
    </row>
    <row r="24" ht="22.5" customHeight="1">
      <c r="A24" s="19">
        <f>IFERROR(__xludf.DUMMYFUNCTION("""COMPUTED_VALUE"""),2.50811001E8)</f>
        <v>250811001</v>
      </c>
      <c r="B24" s="19" t="str">
        <f>IFERROR(__xludf.DUMMYFUNCTION("""COMPUTED_VALUE"""),"John")</f>
        <v>John</v>
      </c>
      <c r="C24" s="19" t="str">
        <f>IFERROR(__xludf.DUMMYFUNCTION("""COMPUTED_VALUE"""),"JD")</f>
        <v>JD</v>
      </c>
      <c r="D24" s="19" t="str">
        <f>IFERROR(__xludf.DUMMYFUNCTION("""COMPUTED_VALUE"""),"Doe")</f>
        <v>Doe</v>
      </c>
      <c r="E24" s="19" t="str">
        <f>IFERROR(__xludf.DUMMYFUNCTION("""COMPUTED_VALUE"""),"JD")</f>
        <v>JD</v>
      </c>
      <c r="F24" s="19" t="str">
        <f>IFERROR(__xludf.DUMMYFUNCTION("""COMPUTED_VALUE"""),"VP")</f>
        <v>VP</v>
      </c>
      <c r="G24" s="19"/>
      <c r="H24" s="19"/>
      <c r="I24" s="19" t="str">
        <f>IFERROR(__xludf.DUMMYFUNCTION("""COMPUTED_VALUE"""),"Hourly")</f>
        <v>Hourly</v>
      </c>
      <c r="J24" s="20">
        <f>IFERROR(__xludf.DUMMYFUNCTION("""COMPUTED_VALUE"""),45888.0)</f>
        <v>45888</v>
      </c>
      <c r="K24" s="19" t="str">
        <f>IFERROR(__xludf.DUMMYFUNCTION("""COMPUTED_VALUE"""),"GM Oshawa PPS")</f>
        <v>GM Oshawa PPS</v>
      </c>
      <c r="L24" s="19" t="str">
        <f>IFERROR(__xludf.DUMMYFUNCTION("""COMPUTED_VALUE"""),"TW010")</f>
        <v>TW010</v>
      </c>
      <c r="M24" s="19" t="str">
        <f>IFERROR(__xludf.DUMMYFUNCTION("""COMPUTED_VALUE"""),"Jane Doe")</f>
        <v>Jane Doe</v>
      </c>
      <c r="N24" s="19" t="str">
        <f>IFERROR(__xludf.DUMMYFUNCTION("""COMPUTED_VALUE"""),"Vishal.srikanth@team-group.com")</f>
        <v>Vishal.srikanth@team-group.com</v>
      </c>
      <c r="O24" s="19" t="str">
        <f>IFERROR(__xludf.DUMMYFUNCTION("""COMPUTED_VALUE"""),"No")</f>
        <v>No</v>
      </c>
      <c r="P24" s="19" t="str">
        <f>IFERROR(__xludf.DUMMYFUNCTION("""COMPUTED_VALUE"""),"No")</f>
        <v>No</v>
      </c>
      <c r="Q24" s="19" t="str">
        <f>IFERROR(__xludf.DUMMYFUNCTION("""COMPUTED_VALUE"""),"No")</f>
        <v>No</v>
      </c>
      <c r="R24" s="19" t="str">
        <f>IFERROR(__xludf.DUMMYFUNCTION("""COMPUTED_VALUE"""),"No")</f>
        <v>No</v>
      </c>
      <c r="S24" s="19" t="str">
        <f>IFERROR(__xludf.DUMMYFUNCTION("""COMPUTED_VALUE"""),"No")</f>
        <v>No</v>
      </c>
      <c r="T24" s="19" t="str">
        <f>IFERROR(__xludf.DUMMYFUNCTION("""COMPUTED_VALUE"""),"No")</f>
        <v>No</v>
      </c>
      <c r="U24" s="19" t="str">
        <f>IFERROR(__xludf.DUMMYFUNCTION("""COMPUTED_VALUE"""),"No")</f>
        <v>No</v>
      </c>
      <c r="V24" s="19" t="str">
        <f>IFERROR(__xludf.DUMMYFUNCTION("""COMPUTED_VALUE"""),"No")</f>
        <v>No</v>
      </c>
      <c r="W24" s="19" t="str">
        <f>IFERROR(__xludf.DUMMYFUNCTION("""COMPUTED_VALUE"""),"No")</f>
        <v>No</v>
      </c>
      <c r="X24" s="19" t="str">
        <f>IFERROR(__xludf.DUMMYFUNCTION("""COMPUTED_VALUE"""),"No")</f>
        <v>No</v>
      </c>
      <c r="Y24" s="19" t="str">
        <f>IFERROR(__xludf.DUMMYFUNCTION("""COMPUTED_VALUE"""),"No")</f>
        <v>No</v>
      </c>
      <c r="Z24" s="19" t="str">
        <f>IFERROR(__xludf.DUMMYFUNCTION("""COMPUTED_VALUE"""),"No")</f>
        <v>No</v>
      </c>
      <c r="AA24" s="19" t="str">
        <f>IFERROR(__xludf.DUMMYFUNCTION("""COMPUTED_VALUE"""),"No")</f>
        <v>No</v>
      </c>
      <c r="AB24" s="19"/>
      <c r="AC24" s="19" t="str">
        <f>IFERROR(__xludf.DUMMYFUNCTION("""COMPUTED_VALUE"""),"No")</f>
        <v>No</v>
      </c>
      <c r="AD24" s="19" t="str">
        <f>IFERROR(__xludf.DUMMYFUNCTION("""COMPUTED_VALUE"""),"Yes")</f>
        <v>Yes</v>
      </c>
      <c r="AE24" s="19" t="str">
        <f>IFERROR(__xludf.DUMMYFUNCTION("""COMPUTED_VALUE"""),"Yes")</f>
        <v>Yes</v>
      </c>
      <c r="AF24" s="19" t="str">
        <f>IFERROR(__xludf.DUMMYFUNCTION("""COMPUTED_VALUE"""),"No")</f>
        <v>No</v>
      </c>
      <c r="AG24" s="19" t="str">
        <f>IFERROR(__xludf.DUMMYFUNCTION("""COMPUTED_VALUE"""),"No")</f>
        <v>No</v>
      </c>
      <c r="AH24" s="19" t="str">
        <f>IFERROR(__xludf.DUMMYFUNCTION("""COMPUTED_VALUE"""),"No")</f>
        <v>No</v>
      </c>
      <c r="AI24" s="19"/>
    </row>
    <row r="25" ht="22.5" customHeight="1">
      <c r="A25" s="19">
        <f>IFERROR(__xludf.DUMMYFUNCTION("""COMPUTED_VALUE"""),2.50811003E8)</f>
        <v>250811003</v>
      </c>
      <c r="B25" s="19" t="str">
        <f>IFERROR(__xludf.DUMMYFUNCTION("""COMPUTED_VALUE"""),"Angie")</f>
        <v>Angie</v>
      </c>
      <c r="C25" s="19" t="str">
        <f>IFERROR(__xludf.DUMMYFUNCTION("""COMPUTED_VALUE"""),"O")</f>
        <v>O</v>
      </c>
      <c r="D25" s="19" t="str">
        <f>IFERROR(__xludf.DUMMYFUNCTION("""COMPUTED_VALUE"""),"O'Plasty")</f>
        <v>O'Plasty</v>
      </c>
      <c r="E25" s="19"/>
      <c r="F25" s="19" t="str">
        <f>IFERROR(__xludf.DUMMYFUNCTION("""COMPUTED_VALUE"""),"VP")</f>
        <v>VP</v>
      </c>
      <c r="G25" s="19" t="str">
        <f>IFERROR(__xludf.DUMMYFUNCTION("""COMPUTED_VALUE"""),"email")</f>
        <v>email</v>
      </c>
      <c r="H25" s="19"/>
      <c r="I25" s="19" t="str">
        <f>IFERROR(__xludf.DUMMYFUNCTION("""COMPUTED_VALUE"""),"Salary")</f>
        <v>Salary</v>
      </c>
      <c r="J25" s="20"/>
      <c r="K25" s="19" t="str">
        <f>IFERROR(__xludf.DUMMYFUNCTION("""COMPUTED_VALUE"""),"ArcelorMittal")</f>
        <v>ArcelorMittal</v>
      </c>
      <c r="L25" s="19" t="str">
        <f>IFERROR(__xludf.DUMMYFUNCTION("""COMPUTED_VALUE"""),"TC001")</f>
        <v>TC001</v>
      </c>
      <c r="M25" s="19"/>
      <c r="N25" s="19"/>
      <c r="O25" s="19" t="str">
        <f>IFERROR(__xludf.DUMMYFUNCTION("""COMPUTED_VALUE"""),"Yes")</f>
        <v>Yes</v>
      </c>
      <c r="P25" s="19" t="str">
        <f>IFERROR(__xludf.DUMMYFUNCTION("""COMPUTED_VALUE"""),"No")</f>
        <v>No</v>
      </c>
      <c r="Q25" s="19" t="str">
        <f>IFERROR(__xludf.DUMMYFUNCTION("""COMPUTED_VALUE"""),"No")</f>
        <v>No</v>
      </c>
      <c r="R25" s="19" t="str">
        <f>IFERROR(__xludf.DUMMYFUNCTION("""COMPUTED_VALUE"""),"No")</f>
        <v>No</v>
      </c>
      <c r="S25" s="19" t="str">
        <f>IFERROR(__xludf.DUMMYFUNCTION("""COMPUTED_VALUE"""),"Yes")</f>
        <v>Yes</v>
      </c>
      <c r="T25" s="19" t="str">
        <f>IFERROR(__xludf.DUMMYFUNCTION("""COMPUTED_VALUE"""),"Yes")</f>
        <v>Yes</v>
      </c>
      <c r="U25" s="19" t="str">
        <f>IFERROR(__xludf.DUMMYFUNCTION("""COMPUTED_VALUE"""),"No")</f>
        <v>No</v>
      </c>
      <c r="V25" s="19" t="str">
        <f>IFERROR(__xludf.DUMMYFUNCTION("""COMPUTED_VALUE"""),"No")</f>
        <v>No</v>
      </c>
      <c r="W25" s="19" t="str">
        <f>IFERROR(__xludf.DUMMYFUNCTION("""COMPUTED_VALUE"""),"No")</f>
        <v>No</v>
      </c>
      <c r="X25" s="19" t="str">
        <f>IFERROR(__xludf.DUMMYFUNCTION("""COMPUTED_VALUE"""),"No")</f>
        <v>No</v>
      </c>
      <c r="Y25" s="19" t="str">
        <f>IFERROR(__xludf.DUMMYFUNCTION("""COMPUTED_VALUE"""),"No")</f>
        <v>No</v>
      </c>
      <c r="Z25" s="19" t="str">
        <f>IFERROR(__xludf.DUMMYFUNCTION("""COMPUTED_VALUE"""),"No")</f>
        <v>No</v>
      </c>
      <c r="AA25" s="19" t="str">
        <f>IFERROR(__xludf.DUMMYFUNCTION("""COMPUTED_VALUE"""),"No")</f>
        <v>No</v>
      </c>
      <c r="AB25" s="19"/>
      <c r="AC25" s="19" t="str">
        <f>IFERROR(__xludf.DUMMYFUNCTION("""COMPUTED_VALUE"""),"No")</f>
        <v>No</v>
      </c>
      <c r="AD25" s="19" t="str">
        <f>IFERROR(__xludf.DUMMYFUNCTION("""COMPUTED_VALUE"""),"No")</f>
        <v>No</v>
      </c>
      <c r="AE25" s="19" t="str">
        <f>IFERROR(__xludf.DUMMYFUNCTION("""COMPUTED_VALUE"""),"Yes")</f>
        <v>Yes</v>
      </c>
      <c r="AF25" s="19" t="str">
        <f>IFERROR(__xludf.DUMMYFUNCTION("""COMPUTED_VALUE"""),"No")</f>
        <v>No</v>
      </c>
      <c r="AG25" s="19" t="str">
        <f>IFERROR(__xludf.DUMMYFUNCTION("""COMPUTED_VALUE"""),"No")</f>
        <v>No</v>
      </c>
      <c r="AH25" s="19" t="str">
        <f>IFERROR(__xludf.DUMMYFUNCTION("""COMPUTED_VALUE"""),"No")</f>
        <v>No</v>
      </c>
      <c r="AI25" s="19"/>
    </row>
    <row r="26" ht="22.5" customHeight="1">
      <c r="A26" s="19">
        <f>IFERROR(__xludf.DUMMYFUNCTION("""COMPUTED_VALUE"""),2.50811004E8)</f>
        <v>250811004</v>
      </c>
      <c r="B26" s="19" t="str">
        <f>IFERROR(__xludf.DUMMYFUNCTION("""COMPUTED_VALUE"""),"John")</f>
        <v>John</v>
      </c>
      <c r="C26" s="19"/>
      <c r="D26" s="19" t="str">
        <f>IFERROR(__xludf.DUMMYFUNCTION("""COMPUTED_VALUE"""),"O'Plasty")</f>
        <v>O'Plasty</v>
      </c>
      <c r="E26" s="19"/>
      <c r="F26" s="19" t="str">
        <f>IFERROR(__xludf.DUMMYFUNCTION("""COMPUTED_VALUE"""),"Director")</f>
        <v>Director</v>
      </c>
      <c r="G26" s="19" t="str">
        <f>IFERROR(__xludf.DUMMYFUNCTION("""COMPUTED_VALUE"""),"email")</f>
        <v>email</v>
      </c>
      <c r="H26" s="19"/>
      <c r="I26" s="19" t="str">
        <f>IFERROR(__xludf.DUMMYFUNCTION("""COMPUTED_VALUE"""),"Salary")</f>
        <v>Salary</v>
      </c>
      <c r="J26" s="20">
        <f>IFERROR(__xludf.DUMMYFUNCTION("""COMPUTED_VALUE"""),45897.0)</f>
        <v>45897</v>
      </c>
      <c r="K26" s="19" t="str">
        <f>IFERROR(__xludf.DUMMYFUNCTION("""COMPUTED_VALUE"""),"Chrysler Brampton")</f>
        <v>Chrysler Brampton</v>
      </c>
      <c r="L26" s="19" t="str">
        <f>IFERROR(__xludf.DUMMYFUNCTION("""COMPUTED_VALUE"""),"TC700")</f>
        <v>TC700</v>
      </c>
      <c r="M26" s="19"/>
      <c r="N26" s="19"/>
      <c r="O26" s="19" t="str">
        <f>IFERROR(__xludf.DUMMYFUNCTION("""COMPUTED_VALUE"""),"Yes")</f>
        <v>Yes</v>
      </c>
      <c r="P26" s="19" t="str">
        <f>IFERROR(__xludf.DUMMYFUNCTION("""COMPUTED_VALUE"""),"No")</f>
        <v>No</v>
      </c>
      <c r="Q26" s="19" t="str">
        <f>IFERROR(__xludf.DUMMYFUNCTION("""COMPUTED_VALUE"""),"No")</f>
        <v>No</v>
      </c>
      <c r="R26" s="19" t="str">
        <f>IFERROR(__xludf.DUMMYFUNCTION("""COMPUTED_VALUE"""),"No")</f>
        <v>No</v>
      </c>
      <c r="S26" s="19" t="str">
        <f>IFERROR(__xludf.DUMMYFUNCTION("""COMPUTED_VALUE"""),"No")</f>
        <v>No</v>
      </c>
      <c r="T26" s="19" t="str">
        <f>IFERROR(__xludf.DUMMYFUNCTION("""COMPUTED_VALUE"""),"No")</f>
        <v>No</v>
      </c>
      <c r="U26" s="19" t="str">
        <f>IFERROR(__xludf.DUMMYFUNCTION("""COMPUTED_VALUE"""),"No")</f>
        <v>No</v>
      </c>
      <c r="V26" s="19" t="str">
        <f>IFERROR(__xludf.DUMMYFUNCTION("""COMPUTED_VALUE"""),"No")</f>
        <v>No</v>
      </c>
      <c r="W26" s="19" t="str">
        <f>IFERROR(__xludf.DUMMYFUNCTION("""COMPUTED_VALUE"""),"No")</f>
        <v>No</v>
      </c>
      <c r="X26" s="19" t="str">
        <f>IFERROR(__xludf.DUMMYFUNCTION("""COMPUTED_VALUE"""),"No")</f>
        <v>No</v>
      </c>
      <c r="Y26" s="19" t="str">
        <f>IFERROR(__xludf.DUMMYFUNCTION("""COMPUTED_VALUE"""),"No")</f>
        <v>No</v>
      </c>
      <c r="Z26" s="19" t="str">
        <f>IFERROR(__xludf.DUMMYFUNCTION("""COMPUTED_VALUE"""),"No")</f>
        <v>No</v>
      </c>
      <c r="AA26" s="19" t="str">
        <f>IFERROR(__xludf.DUMMYFUNCTION("""COMPUTED_VALUE"""),"No")</f>
        <v>No</v>
      </c>
      <c r="AB26" s="19"/>
      <c r="AC26" s="19" t="str">
        <f>IFERROR(__xludf.DUMMYFUNCTION("""COMPUTED_VALUE"""),"No")</f>
        <v>No</v>
      </c>
      <c r="AD26" s="19" t="str">
        <f>IFERROR(__xludf.DUMMYFUNCTION("""COMPUTED_VALUE"""),"No")</f>
        <v>No</v>
      </c>
      <c r="AE26" s="19" t="str">
        <f>IFERROR(__xludf.DUMMYFUNCTION("""COMPUTED_VALUE"""),"Yes")</f>
        <v>Yes</v>
      </c>
      <c r="AF26" s="19" t="str">
        <f>IFERROR(__xludf.DUMMYFUNCTION("""COMPUTED_VALUE"""),"No")</f>
        <v>No</v>
      </c>
      <c r="AG26" s="19" t="str">
        <f>IFERROR(__xludf.DUMMYFUNCTION("""COMPUTED_VALUE"""),"No")</f>
        <v>No</v>
      </c>
      <c r="AH26" s="19" t="str">
        <f>IFERROR(__xludf.DUMMYFUNCTION("""COMPUTED_VALUE"""),"No")</f>
        <v>No</v>
      </c>
      <c r="AI26" s="19"/>
    </row>
    <row r="27" ht="22.5" customHeight="1">
      <c r="A27" s="19">
        <f>IFERROR(__xludf.DUMMYFUNCTION("""COMPUTED_VALUE"""),2.50812004E8)</f>
        <v>250812004</v>
      </c>
      <c r="B27" s="19" t="str">
        <f>IFERROR(__xludf.DUMMYFUNCTION("""COMPUTED_VALUE"""),"May ")</f>
        <v>May </v>
      </c>
      <c r="C27" s="19" t="str">
        <f>IFERROR(__xludf.DUMMYFUNCTION("""COMPUTED_VALUE"""),"B")</f>
        <v>B</v>
      </c>
      <c r="D27" s="19" t="str">
        <f>IFERROR(__xludf.DUMMYFUNCTION("""COMPUTED_VALUE"""),"Tomorrow")</f>
        <v>Tomorrow</v>
      </c>
      <c r="E27" s="19"/>
      <c r="F27" s="19" t="str">
        <f>IFERROR(__xludf.DUMMYFUNCTION("""COMPUTED_VALUE"""),"Director")</f>
        <v>Director</v>
      </c>
      <c r="G27" s="19"/>
      <c r="H27" s="19"/>
      <c r="I27" s="19" t="str">
        <f>IFERROR(__xludf.DUMMYFUNCTION("""COMPUTED_VALUE"""),"Hourly")</f>
        <v>Hourly</v>
      </c>
      <c r="J27" s="20">
        <f>IFERROR(__xludf.DUMMYFUNCTION("""COMPUTED_VALUE"""),45884.0)</f>
        <v>45884</v>
      </c>
      <c r="K27" s="19" t="str">
        <f>IFERROR(__xludf.DUMMYFUNCTION("""COMPUTED_VALUE"""),"BBI Enterprises")</f>
        <v>BBI Enterprises</v>
      </c>
      <c r="L27" s="19" t="str">
        <f>IFERROR(__xludf.DUMMYFUNCTION("""COMPUTED_VALUE"""),"TC009")</f>
        <v>TC009</v>
      </c>
      <c r="M27" s="19"/>
      <c r="N27" s="19"/>
      <c r="O27" s="19" t="str">
        <f>IFERROR(__xludf.DUMMYFUNCTION("""COMPUTED_VALUE"""),"No")</f>
        <v>No</v>
      </c>
      <c r="P27" s="19" t="str">
        <f>IFERROR(__xludf.DUMMYFUNCTION("""COMPUTED_VALUE"""),"No")</f>
        <v>No</v>
      </c>
      <c r="Q27" s="19" t="str">
        <f>IFERROR(__xludf.DUMMYFUNCTION("""COMPUTED_VALUE"""),"No")</f>
        <v>No</v>
      </c>
      <c r="R27" s="19" t="str">
        <f>IFERROR(__xludf.DUMMYFUNCTION("""COMPUTED_VALUE"""),"No")</f>
        <v>No</v>
      </c>
      <c r="S27" s="19" t="str">
        <f>IFERROR(__xludf.DUMMYFUNCTION("""COMPUTED_VALUE"""),"No")</f>
        <v>No</v>
      </c>
      <c r="T27" s="19" t="str">
        <f>IFERROR(__xludf.DUMMYFUNCTION("""COMPUTED_VALUE"""),"No")</f>
        <v>No</v>
      </c>
      <c r="U27" s="19" t="str">
        <f>IFERROR(__xludf.DUMMYFUNCTION("""COMPUTED_VALUE"""),"No")</f>
        <v>No</v>
      </c>
      <c r="V27" s="19" t="str">
        <f>IFERROR(__xludf.DUMMYFUNCTION("""COMPUTED_VALUE"""),"No")</f>
        <v>No</v>
      </c>
      <c r="W27" s="19" t="str">
        <f>IFERROR(__xludf.DUMMYFUNCTION("""COMPUTED_VALUE"""),"No")</f>
        <v>No</v>
      </c>
      <c r="X27" s="19" t="str">
        <f>IFERROR(__xludf.DUMMYFUNCTION("""COMPUTED_VALUE"""),"No")</f>
        <v>No</v>
      </c>
      <c r="Y27" s="19" t="str">
        <f>IFERROR(__xludf.DUMMYFUNCTION("""COMPUTED_VALUE"""),"No")</f>
        <v>No</v>
      </c>
      <c r="Z27" s="19" t="str">
        <f>IFERROR(__xludf.DUMMYFUNCTION("""COMPUTED_VALUE"""),"No")</f>
        <v>No</v>
      </c>
      <c r="AA27" s="19" t="str">
        <f>IFERROR(__xludf.DUMMYFUNCTION("""COMPUTED_VALUE"""),"No")</f>
        <v>No</v>
      </c>
      <c r="AB27" s="19"/>
      <c r="AC27" s="19" t="str">
        <f>IFERROR(__xludf.DUMMYFUNCTION("""COMPUTED_VALUE"""),"No")</f>
        <v>No</v>
      </c>
      <c r="AD27" s="19" t="str">
        <f>IFERROR(__xludf.DUMMYFUNCTION("""COMPUTED_VALUE"""),"No")</f>
        <v>No</v>
      </c>
      <c r="AE27" s="19" t="str">
        <f>IFERROR(__xludf.DUMMYFUNCTION("""COMPUTED_VALUE"""),"Yes")</f>
        <v>Yes</v>
      </c>
      <c r="AF27" s="19" t="str">
        <f>IFERROR(__xludf.DUMMYFUNCTION("""COMPUTED_VALUE"""),"No")</f>
        <v>No</v>
      </c>
      <c r="AG27" s="19" t="str">
        <f>IFERROR(__xludf.DUMMYFUNCTION("""COMPUTED_VALUE"""),"No")</f>
        <v>No</v>
      </c>
      <c r="AH27" s="19" t="str">
        <f>IFERROR(__xludf.DUMMYFUNCTION("""COMPUTED_VALUE"""),"No")</f>
        <v>No</v>
      </c>
      <c r="AI27" s="19"/>
    </row>
    <row r="28" ht="22.5" customHeight="1">
      <c r="A28" s="19">
        <f>IFERROR(__xludf.DUMMYFUNCTION("""COMPUTED_VALUE"""),2.50812005E8)</f>
        <v>250812005</v>
      </c>
      <c r="B28" s="19" t="str">
        <f>IFERROR(__xludf.DUMMYFUNCTION("""COMPUTED_VALUE"""),"Angie")</f>
        <v>Angie</v>
      </c>
      <c r="C28" s="19"/>
      <c r="D28" s="19" t="str">
        <f>IFERROR(__xludf.DUMMYFUNCTION("""COMPUTED_VALUE"""),"O'Plasty")</f>
        <v>O'Plasty</v>
      </c>
      <c r="E28" s="19"/>
      <c r="F28" s="19"/>
      <c r="G28" s="19"/>
      <c r="H28" s="19"/>
      <c r="I28" s="19" t="str">
        <f>IFERROR(__xludf.DUMMYFUNCTION("""COMPUTED_VALUE"""),"Hourly")</f>
        <v>Hourly</v>
      </c>
      <c r="J28" s="20">
        <f>IFERROR(__xludf.DUMMYFUNCTION("""COMPUTED_VALUE"""),45888.0)</f>
        <v>45888</v>
      </c>
      <c r="K28" s="19" t="str">
        <f>IFERROR(__xludf.DUMMYFUNCTION("""COMPUTED_VALUE"""),"PC Gaming")</f>
        <v>PC Gaming</v>
      </c>
      <c r="L28" s="19" t="str">
        <f>IFERROR(__xludf.DUMMYFUNCTION("""COMPUTED_VALUE"""),"UC216")</f>
        <v>UC216</v>
      </c>
      <c r="M28" s="19" t="str">
        <f>IFERROR(__xludf.DUMMYFUNCTION("""COMPUTED_VALUE"""),"Jane Doe")</f>
        <v>Jane Doe</v>
      </c>
      <c r="N28" s="19" t="str">
        <f>IFERROR(__xludf.DUMMYFUNCTION("""COMPUTED_VALUE"""),"Vishal.srikanth@team-group.com")</f>
        <v>Vishal.srikanth@team-group.com</v>
      </c>
      <c r="O28" s="19" t="str">
        <f>IFERROR(__xludf.DUMMYFUNCTION("""COMPUTED_VALUE"""),"No")</f>
        <v>No</v>
      </c>
      <c r="P28" s="19" t="str">
        <f>IFERROR(__xludf.DUMMYFUNCTION("""COMPUTED_VALUE"""),"No")</f>
        <v>No</v>
      </c>
      <c r="Q28" s="19" t="str">
        <f>IFERROR(__xludf.DUMMYFUNCTION("""COMPUTED_VALUE"""),"No")</f>
        <v>No</v>
      </c>
      <c r="R28" s="19" t="str">
        <f>IFERROR(__xludf.DUMMYFUNCTION("""COMPUTED_VALUE"""),"No")</f>
        <v>No</v>
      </c>
      <c r="S28" s="19" t="str">
        <f>IFERROR(__xludf.DUMMYFUNCTION("""COMPUTED_VALUE"""),"No")</f>
        <v>No</v>
      </c>
      <c r="T28" s="19" t="str">
        <f>IFERROR(__xludf.DUMMYFUNCTION("""COMPUTED_VALUE"""),"No")</f>
        <v>No</v>
      </c>
      <c r="U28" s="19" t="str">
        <f>IFERROR(__xludf.DUMMYFUNCTION("""COMPUTED_VALUE"""),"No")</f>
        <v>No</v>
      </c>
      <c r="V28" s="19" t="str">
        <f>IFERROR(__xludf.DUMMYFUNCTION("""COMPUTED_VALUE"""),"No")</f>
        <v>No</v>
      </c>
      <c r="W28" s="19" t="str">
        <f>IFERROR(__xludf.DUMMYFUNCTION("""COMPUTED_VALUE"""),"No")</f>
        <v>No</v>
      </c>
      <c r="X28" s="19" t="str">
        <f>IFERROR(__xludf.DUMMYFUNCTION("""COMPUTED_VALUE"""),"No")</f>
        <v>No</v>
      </c>
      <c r="Y28" s="19" t="str">
        <f>IFERROR(__xludf.DUMMYFUNCTION("""COMPUTED_VALUE"""),"No")</f>
        <v>No</v>
      </c>
      <c r="Z28" s="19" t="str">
        <f>IFERROR(__xludf.DUMMYFUNCTION("""COMPUTED_VALUE"""),"No")</f>
        <v>No</v>
      </c>
      <c r="AA28" s="19" t="str">
        <f>IFERROR(__xludf.DUMMYFUNCTION("""COMPUTED_VALUE"""),"No")</f>
        <v>No</v>
      </c>
      <c r="AB28" s="19"/>
      <c r="AC28" s="19" t="str">
        <f>IFERROR(__xludf.DUMMYFUNCTION("""COMPUTED_VALUE"""),"No")</f>
        <v>No</v>
      </c>
      <c r="AD28" s="19" t="str">
        <f>IFERROR(__xludf.DUMMYFUNCTION("""COMPUTED_VALUE"""),"Yes")</f>
        <v>Yes</v>
      </c>
      <c r="AE28" s="19" t="str">
        <f>IFERROR(__xludf.DUMMYFUNCTION("""COMPUTED_VALUE"""),"Yes")</f>
        <v>Yes</v>
      </c>
      <c r="AF28" s="19" t="str">
        <f>IFERROR(__xludf.DUMMYFUNCTION("""COMPUTED_VALUE"""),"No")</f>
        <v>No</v>
      </c>
      <c r="AG28" s="19" t="str">
        <f>IFERROR(__xludf.DUMMYFUNCTION("""COMPUTED_VALUE"""),"No")</f>
        <v>No</v>
      </c>
      <c r="AH28" s="19" t="str">
        <f>IFERROR(__xludf.DUMMYFUNCTION("""COMPUTED_VALUE"""),"No")</f>
        <v>No</v>
      </c>
      <c r="AI28" s="19"/>
    </row>
    <row r="29" ht="22.5" customHeight="1">
      <c r="A29" s="19">
        <f>IFERROR(__xludf.DUMMYFUNCTION("""COMPUTED_VALUE"""),2.50812007E8)</f>
        <v>250812007</v>
      </c>
      <c r="B29" s="19" t="str">
        <f>IFERROR(__xludf.DUMMYFUNCTION("""COMPUTED_VALUE"""),"John")</f>
        <v>John</v>
      </c>
      <c r="C29" s="19"/>
      <c r="D29" s="19" t="str">
        <f>IFERROR(__xludf.DUMMYFUNCTION("""COMPUTED_VALUE"""),"Athon")</f>
        <v>Athon</v>
      </c>
      <c r="E29" s="19"/>
      <c r="F29" s="19" t="str">
        <f>IFERROR(__xludf.DUMMYFUNCTION("""COMPUTED_VALUE"""),"Director")</f>
        <v>Director</v>
      </c>
      <c r="G29" s="19" t="str">
        <f>IFERROR(__xludf.DUMMYFUNCTION("""COMPUTED_VALUE"""),"email")</f>
        <v>email</v>
      </c>
      <c r="H29" s="19"/>
      <c r="I29" s="19" t="str">
        <f>IFERROR(__xludf.DUMMYFUNCTION("""COMPUTED_VALUE"""),"Salary")</f>
        <v>Salary</v>
      </c>
      <c r="J29" s="20">
        <f>IFERROR(__xludf.DUMMYFUNCTION("""COMPUTED_VALUE"""),45898.0)</f>
        <v>45898</v>
      </c>
      <c r="K29" s="19" t="str">
        <f>IFERROR(__xludf.DUMMYFUNCTION("""COMPUTED_VALUE"""),"Ventra Group ")</f>
        <v>Ventra Group </v>
      </c>
      <c r="L29" s="19" t="str">
        <f>IFERROR(__xludf.DUMMYFUNCTION("""COMPUTED_VALUE"""),"UP506")</f>
        <v>UP506</v>
      </c>
      <c r="M29" s="19" t="str">
        <f>IFERROR(__xludf.DUMMYFUNCTION("""COMPUTED_VALUE"""),"Jane Doe")</f>
        <v>Jane Doe</v>
      </c>
      <c r="N29" s="19" t="str">
        <f>IFERROR(__xludf.DUMMYFUNCTION("""COMPUTED_VALUE"""),"Vishal.srikanth@team-group.com")</f>
        <v>Vishal.srikanth@team-group.com</v>
      </c>
      <c r="O29" s="19" t="str">
        <f>IFERROR(__xludf.DUMMYFUNCTION("""COMPUTED_VALUE"""),"Yes")</f>
        <v>Yes</v>
      </c>
      <c r="P29" s="19" t="str">
        <f>IFERROR(__xludf.DUMMYFUNCTION("""COMPUTED_VALUE"""),"No")</f>
        <v>No</v>
      </c>
      <c r="Q29" s="19" t="str">
        <f>IFERROR(__xludf.DUMMYFUNCTION("""COMPUTED_VALUE"""),"Yes")</f>
        <v>Yes</v>
      </c>
      <c r="R29" s="19" t="str">
        <f>IFERROR(__xludf.DUMMYFUNCTION("""COMPUTED_VALUE"""),"No")</f>
        <v>No</v>
      </c>
      <c r="S29" s="19" t="str">
        <f>IFERROR(__xludf.DUMMYFUNCTION("""COMPUTED_VALUE"""),"No")</f>
        <v>No</v>
      </c>
      <c r="T29" s="19" t="str">
        <f>IFERROR(__xludf.DUMMYFUNCTION("""COMPUTED_VALUE"""),"No")</f>
        <v>No</v>
      </c>
      <c r="U29" s="19" t="str">
        <f>IFERROR(__xludf.DUMMYFUNCTION("""COMPUTED_VALUE"""),"No")</f>
        <v>No</v>
      </c>
      <c r="V29" s="19" t="str">
        <f>IFERROR(__xludf.DUMMYFUNCTION("""COMPUTED_VALUE"""),"No")</f>
        <v>No</v>
      </c>
      <c r="W29" s="19" t="str">
        <f>IFERROR(__xludf.DUMMYFUNCTION("""COMPUTED_VALUE"""),"Yes")</f>
        <v>Yes</v>
      </c>
      <c r="X29" s="19" t="str">
        <f>IFERROR(__xludf.DUMMYFUNCTION("""COMPUTED_VALUE"""),"No")</f>
        <v>No</v>
      </c>
      <c r="Y29" s="19" t="str">
        <f>IFERROR(__xludf.DUMMYFUNCTION("""COMPUTED_VALUE"""),"No")</f>
        <v>No</v>
      </c>
      <c r="Z29" s="19" t="str">
        <f>IFERROR(__xludf.DUMMYFUNCTION("""COMPUTED_VALUE"""),"No")</f>
        <v>No</v>
      </c>
      <c r="AA29" s="19" t="str">
        <f>IFERROR(__xludf.DUMMYFUNCTION("""COMPUTED_VALUE"""),"No")</f>
        <v>No</v>
      </c>
      <c r="AB29" s="19"/>
      <c r="AC29" s="19" t="str">
        <f>IFERROR(__xludf.DUMMYFUNCTION("""COMPUTED_VALUE"""),"No")</f>
        <v>No</v>
      </c>
      <c r="AD29" s="19" t="str">
        <f>IFERROR(__xludf.DUMMYFUNCTION("""COMPUTED_VALUE"""),"Yes")</f>
        <v>Yes</v>
      </c>
      <c r="AE29" s="19" t="str">
        <f>IFERROR(__xludf.DUMMYFUNCTION("""COMPUTED_VALUE"""),"Yes")</f>
        <v>Yes</v>
      </c>
      <c r="AF29" s="19" t="str">
        <f>IFERROR(__xludf.DUMMYFUNCTION("""COMPUTED_VALUE"""),"No")</f>
        <v>No</v>
      </c>
      <c r="AG29" s="19" t="str">
        <f>IFERROR(__xludf.DUMMYFUNCTION("""COMPUTED_VALUE"""),"No")</f>
        <v>No</v>
      </c>
      <c r="AH29" s="19" t="str">
        <f>IFERROR(__xludf.DUMMYFUNCTION("""COMPUTED_VALUE"""),"No")</f>
        <v>No</v>
      </c>
      <c r="AI29" s="19"/>
    </row>
    <row r="30" ht="22.5" customHeight="1">
      <c r="A30" s="19">
        <f>IFERROR(__xludf.DUMMYFUNCTION("""COMPUTED_VALUE"""),2.50812008E8)</f>
        <v>250812008</v>
      </c>
      <c r="B30" s="19" t="str">
        <f>IFERROR(__xludf.DUMMYFUNCTION("""COMPUTED_VALUE"""),"May ")</f>
        <v>May </v>
      </c>
      <c r="C30" s="19" t="str">
        <f>IFERROR(__xludf.DUMMYFUNCTION("""COMPUTED_VALUE"""),"B")</f>
        <v>B</v>
      </c>
      <c r="D30" s="19" t="str">
        <f>IFERROR(__xludf.DUMMYFUNCTION("""COMPUTED_VALUE"""),"Tomorrow")</f>
        <v>Tomorrow</v>
      </c>
      <c r="E30" s="19" t="str">
        <f>IFERROR(__xludf.DUMMYFUNCTION("""COMPUTED_VALUE"""),"B")</f>
        <v>B</v>
      </c>
      <c r="F30" s="19" t="str">
        <f>IFERROR(__xludf.DUMMYFUNCTION("""COMPUTED_VALUE"""),"Director")</f>
        <v>Director</v>
      </c>
      <c r="G30" s="19"/>
      <c r="H30" s="19"/>
      <c r="I30" s="19" t="str">
        <f>IFERROR(__xludf.DUMMYFUNCTION("""COMPUTED_VALUE"""),"Hourly")</f>
        <v>Hourly</v>
      </c>
      <c r="J30" s="20">
        <f>IFERROR(__xludf.DUMMYFUNCTION("""COMPUTED_VALUE"""),45895.0)</f>
        <v>45895</v>
      </c>
      <c r="K30" s="19" t="str">
        <f>IFERROR(__xludf.DUMMYFUNCTION("""COMPUTED_VALUE"""),"Bunge Canada")</f>
        <v>Bunge Canada</v>
      </c>
      <c r="L30" s="19" t="str">
        <f>IFERROR(__xludf.DUMMYFUNCTION("""COMPUTED_VALUE"""),"TC013")</f>
        <v>TC013</v>
      </c>
      <c r="M30" s="19"/>
      <c r="N30" s="19"/>
      <c r="O30" s="19" t="str">
        <f>IFERROR(__xludf.DUMMYFUNCTION("""COMPUTED_VALUE"""),"No")</f>
        <v>No</v>
      </c>
      <c r="P30" s="19" t="str">
        <f>IFERROR(__xludf.DUMMYFUNCTION("""COMPUTED_VALUE"""),"No")</f>
        <v>No</v>
      </c>
      <c r="Q30" s="19" t="str">
        <f>IFERROR(__xludf.DUMMYFUNCTION("""COMPUTED_VALUE"""),"No")</f>
        <v>No</v>
      </c>
      <c r="R30" s="19" t="str">
        <f>IFERROR(__xludf.DUMMYFUNCTION("""COMPUTED_VALUE"""),"No")</f>
        <v>No</v>
      </c>
      <c r="S30" s="19" t="str">
        <f>IFERROR(__xludf.DUMMYFUNCTION("""COMPUTED_VALUE"""),"No")</f>
        <v>No</v>
      </c>
      <c r="T30" s="19" t="str">
        <f>IFERROR(__xludf.DUMMYFUNCTION("""COMPUTED_VALUE"""),"No")</f>
        <v>No</v>
      </c>
      <c r="U30" s="19" t="str">
        <f>IFERROR(__xludf.DUMMYFUNCTION("""COMPUTED_VALUE"""),"No")</f>
        <v>No</v>
      </c>
      <c r="V30" s="19" t="str">
        <f>IFERROR(__xludf.DUMMYFUNCTION("""COMPUTED_VALUE"""),"No")</f>
        <v>No</v>
      </c>
      <c r="W30" s="19" t="str">
        <f>IFERROR(__xludf.DUMMYFUNCTION("""COMPUTED_VALUE"""),"No")</f>
        <v>No</v>
      </c>
      <c r="X30" s="19" t="str">
        <f>IFERROR(__xludf.DUMMYFUNCTION("""COMPUTED_VALUE"""),"No")</f>
        <v>No</v>
      </c>
      <c r="Y30" s="19" t="str">
        <f>IFERROR(__xludf.DUMMYFUNCTION("""COMPUTED_VALUE"""),"No")</f>
        <v>No</v>
      </c>
      <c r="Z30" s="19" t="str">
        <f>IFERROR(__xludf.DUMMYFUNCTION("""COMPUTED_VALUE"""),"No")</f>
        <v>No</v>
      </c>
      <c r="AA30" s="19" t="str">
        <f>IFERROR(__xludf.DUMMYFUNCTION("""COMPUTED_VALUE"""),"No")</f>
        <v>No</v>
      </c>
      <c r="AB30" s="19"/>
      <c r="AC30" s="19" t="str">
        <f>IFERROR(__xludf.DUMMYFUNCTION("""COMPUTED_VALUE"""),"No")</f>
        <v>No</v>
      </c>
      <c r="AD30" s="19" t="str">
        <f>IFERROR(__xludf.DUMMYFUNCTION("""COMPUTED_VALUE"""),"Yes")</f>
        <v>Yes</v>
      </c>
      <c r="AE30" s="19" t="str">
        <f>IFERROR(__xludf.DUMMYFUNCTION("""COMPUTED_VALUE"""),"No")</f>
        <v>No</v>
      </c>
      <c r="AF30" s="19" t="str">
        <f>IFERROR(__xludf.DUMMYFUNCTION("""COMPUTED_VALUE"""),"No")</f>
        <v>No</v>
      </c>
      <c r="AG30" s="19" t="str">
        <f>IFERROR(__xludf.DUMMYFUNCTION("""COMPUTED_VALUE"""),"No")</f>
        <v>No</v>
      </c>
      <c r="AH30" s="19" t="str">
        <f>IFERROR(__xludf.DUMMYFUNCTION("""COMPUTED_VALUE"""),"No")</f>
        <v>No</v>
      </c>
      <c r="AI30" s="19"/>
    </row>
    <row r="31" ht="22.5" customHeight="1">
      <c r="A31" s="19">
        <f>IFERROR(__xludf.DUMMYFUNCTION("""COMPUTED_VALUE"""),2.50826001E8)</f>
        <v>250826001</v>
      </c>
      <c r="B31" s="19" t="str">
        <f>IFERROR(__xludf.DUMMYFUNCTION("""COMPUTED_VALUE"""),"John")</f>
        <v>John</v>
      </c>
      <c r="C31" s="19"/>
      <c r="D31" s="19" t="str">
        <f>IFERROR(__xludf.DUMMYFUNCTION("""COMPUTED_VALUE"""),"Doe")</f>
        <v>Doe</v>
      </c>
      <c r="E31" s="19" t="str">
        <f>IFERROR(__xludf.DUMMYFUNCTION("""COMPUTED_VALUE"""),"Johnny")</f>
        <v>Johnny</v>
      </c>
      <c r="F31" s="19" t="str">
        <f>IFERROR(__xludf.DUMMYFUNCTION("""COMPUTED_VALUE"""),"Industrial Cleaner")</f>
        <v>Industrial Cleaner</v>
      </c>
      <c r="G31" s="19"/>
      <c r="H31" s="19"/>
      <c r="I31" s="19" t="str">
        <f>IFERROR(__xludf.DUMMYFUNCTION("""COMPUTED_VALUE"""),"Hourly")</f>
        <v>Hourly</v>
      </c>
      <c r="J31" s="20">
        <f>IFERROR(__xludf.DUMMYFUNCTION("""COMPUTED_VALUE"""),45896.0)</f>
        <v>45896</v>
      </c>
      <c r="K31" s="19" t="str">
        <f>IFERROR(__xludf.DUMMYFUNCTION("""COMPUTED_VALUE"""),"Geely YuYao")</f>
        <v>Geely YuYao</v>
      </c>
      <c r="L31" s="19" t="str">
        <f>IFERROR(__xludf.DUMMYFUNCTION("""COMPUTED_VALUE"""),"TR500")</f>
        <v>TR500</v>
      </c>
      <c r="M31" s="19" t="str">
        <f>IFERROR(__xludf.DUMMYFUNCTION("""COMPUTED_VALUE"""),"Mike Buday")</f>
        <v>Mike Buday</v>
      </c>
      <c r="N31" s="19" t="str">
        <f>IFERROR(__xludf.DUMMYFUNCTION("""COMPUTED_VALUE"""),"Vishal.srikanth@team-group.com")</f>
        <v>Vishal.srikanth@team-group.com</v>
      </c>
      <c r="O31" s="19" t="str">
        <f>IFERROR(__xludf.DUMMYFUNCTION("""COMPUTED_VALUE"""),"No")</f>
        <v>No</v>
      </c>
      <c r="P31" s="19" t="str">
        <f>IFERROR(__xludf.DUMMYFUNCTION("""COMPUTED_VALUE"""),"No")</f>
        <v>No</v>
      </c>
      <c r="Q31" s="19" t="str">
        <f>IFERROR(__xludf.DUMMYFUNCTION("""COMPUTED_VALUE"""),"No")</f>
        <v>No</v>
      </c>
      <c r="R31" s="19" t="str">
        <f>IFERROR(__xludf.DUMMYFUNCTION("""COMPUTED_VALUE"""),"No")</f>
        <v>No</v>
      </c>
      <c r="S31" s="19" t="str">
        <f>IFERROR(__xludf.DUMMYFUNCTION("""COMPUTED_VALUE"""),"No")</f>
        <v>No</v>
      </c>
      <c r="T31" s="19" t="str">
        <f>IFERROR(__xludf.DUMMYFUNCTION("""COMPUTED_VALUE"""),"No")</f>
        <v>No</v>
      </c>
      <c r="U31" s="19" t="str">
        <f>IFERROR(__xludf.DUMMYFUNCTION("""COMPUTED_VALUE"""),"No")</f>
        <v>No</v>
      </c>
      <c r="V31" s="19" t="str">
        <f>IFERROR(__xludf.DUMMYFUNCTION("""COMPUTED_VALUE"""),"No")</f>
        <v>No</v>
      </c>
      <c r="W31" s="19" t="str">
        <f>IFERROR(__xludf.DUMMYFUNCTION("""COMPUTED_VALUE"""),"No")</f>
        <v>No</v>
      </c>
      <c r="X31" s="19" t="str">
        <f>IFERROR(__xludf.DUMMYFUNCTION("""COMPUTED_VALUE"""),"No")</f>
        <v>No</v>
      </c>
      <c r="Y31" s="19" t="str">
        <f>IFERROR(__xludf.DUMMYFUNCTION("""COMPUTED_VALUE"""),"No")</f>
        <v>No</v>
      </c>
      <c r="Z31" s="19" t="str">
        <f>IFERROR(__xludf.DUMMYFUNCTION("""COMPUTED_VALUE"""),"No")</f>
        <v>No</v>
      </c>
      <c r="AA31" s="19" t="str">
        <f>IFERROR(__xludf.DUMMYFUNCTION("""COMPUTED_VALUE"""),"No")</f>
        <v>No</v>
      </c>
      <c r="AB31" s="19"/>
      <c r="AC31" s="19" t="str">
        <f>IFERROR(__xludf.DUMMYFUNCTION("""COMPUTED_VALUE"""),"No")</f>
        <v>No</v>
      </c>
      <c r="AD31" s="19" t="str">
        <f>IFERROR(__xludf.DUMMYFUNCTION("""COMPUTED_VALUE"""),"No")</f>
        <v>No</v>
      </c>
      <c r="AE31" s="19" t="str">
        <f>IFERROR(__xludf.DUMMYFUNCTION("""COMPUTED_VALUE"""),"No")</f>
        <v>No</v>
      </c>
      <c r="AF31" s="19" t="str">
        <f>IFERROR(__xludf.DUMMYFUNCTION("""COMPUTED_VALUE"""),"No")</f>
        <v>No</v>
      </c>
      <c r="AG31" s="19" t="str">
        <f>IFERROR(__xludf.DUMMYFUNCTION("""COMPUTED_VALUE"""),"No")</f>
        <v>No</v>
      </c>
      <c r="AH31" s="19" t="str">
        <f>IFERROR(__xludf.DUMMYFUNCTION("""COMPUTED_VALUE"""),"No")</f>
        <v>No</v>
      </c>
      <c r="AI31" s="19"/>
    </row>
    <row r="32" ht="22.5" customHeight="1">
      <c r="A32" s="19">
        <f>IFERROR(__xludf.DUMMYFUNCTION("""COMPUTED_VALUE"""),2.50826002E8)</f>
        <v>250826002</v>
      </c>
      <c r="B32" s="19" t="str">
        <f>IFERROR(__xludf.DUMMYFUNCTION("""COMPUTED_VALUE"""),"John")</f>
        <v>John</v>
      </c>
      <c r="C32" s="19"/>
      <c r="D32" s="19" t="str">
        <f>IFERROR(__xludf.DUMMYFUNCTION("""COMPUTED_VALUE"""),"Doe")</f>
        <v>Doe</v>
      </c>
      <c r="E32" s="19"/>
      <c r="F32" s="19" t="str">
        <f>IFERROR(__xludf.DUMMYFUNCTION("""COMPUTED_VALUE"""),"Director")</f>
        <v>Director</v>
      </c>
      <c r="G32" s="19" t="str">
        <f>IFERROR(__xludf.DUMMYFUNCTION("""COMPUTED_VALUE"""),"email")</f>
        <v>email</v>
      </c>
      <c r="H32" s="19">
        <f>IFERROR(__xludf.DUMMYFUNCTION("""COMPUTED_VALUE"""),123.0)</f>
        <v>123</v>
      </c>
      <c r="I32" s="19" t="str">
        <f>IFERROR(__xludf.DUMMYFUNCTION("""COMPUTED_VALUE"""),"Salary")</f>
        <v>Salary</v>
      </c>
      <c r="J32" s="20">
        <f>IFERROR(__xludf.DUMMYFUNCTION("""COMPUTED_VALUE"""),45897.0)</f>
        <v>45897</v>
      </c>
      <c r="K32" s="19" t="str">
        <f>IFERROR(__xludf.DUMMYFUNCTION("""COMPUTED_VALUE"""),"Geely YuYao")</f>
        <v>Geely YuYao</v>
      </c>
      <c r="L32" s="19" t="str">
        <f>IFERROR(__xludf.DUMMYFUNCTION("""COMPUTED_VALUE"""),"TR500")</f>
        <v>TR500</v>
      </c>
      <c r="M32" s="19" t="str">
        <f>IFERROR(__xludf.DUMMYFUNCTION("""COMPUTED_VALUE"""),"Jane Doe")</f>
        <v>Jane Doe</v>
      </c>
      <c r="N32" s="19" t="str">
        <f>IFERROR(__xludf.DUMMYFUNCTION("""COMPUTED_VALUE"""),"Vishal.srikanth@team-group.com")</f>
        <v>Vishal.srikanth@team-group.com</v>
      </c>
      <c r="O32" s="19" t="str">
        <f>IFERROR(__xludf.DUMMYFUNCTION("""COMPUTED_VALUE"""),"Yes")</f>
        <v>Yes</v>
      </c>
      <c r="P32" s="19" t="str">
        <f>IFERROR(__xludf.DUMMYFUNCTION("""COMPUTED_VALUE"""),"No")</f>
        <v>No</v>
      </c>
      <c r="Q32" s="19" t="str">
        <f>IFERROR(__xludf.DUMMYFUNCTION("""COMPUTED_VALUE"""),"Yes")</f>
        <v>Yes</v>
      </c>
      <c r="R32" s="19" t="str">
        <f>IFERROR(__xludf.DUMMYFUNCTION("""COMPUTED_VALUE"""),"Yes")</f>
        <v>Yes</v>
      </c>
      <c r="S32" s="19" t="str">
        <f>IFERROR(__xludf.DUMMYFUNCTION("""COMPUTED_VALUE"""),"Yes")</f>
        <v>Yes</v>
      </c>
      <c r="T32" s="19" t="str">
        <f>IFERROR(__xludf.DUMMYFUNCTION("""COMPUTED_VALUE"""),"Yes")</f>
        <v>Yes</v>
      </c>
      <c r="U32" s="19" t="str">
        <f>IFERROR(__xludf.DUMMYFUNCTION("""COMPUTED_VALUE"""),"Yes")</f>
        <v>Yes</v>
      </c>
      <c r="V32" s="19" t="str">
        <f>IFERROR(__xludf.DUMMYFUNCTION("""COMPUTED_VALUE"""),"Yes")</f>
        <v>Yes</v>
      </c>
      <c r="W32" s="19" t="str">
        <f>IFERROR(__xludf.DUMMYFUNCTION("""COMPUTED_VALUE"""),"Yes")</f>
        <v>Yes</v>
      </c>
      <c r="X32" s="19" t="str">
        <f>IFERROR(__xludf.DUMMYFUNCTION("""COMPUTED_VALUE"""),"Yes")</f>
        <v>Yes</v>
      </c>
      <c r="Y32" s="19" t="str">
        <f>IFERROR(__xludf.DUMMYFUNCTION("""COMPUTED_VALUE"""),"No")</f>
        <v>No</v>
      </c>
      <c r="Z32" s="19" t="str">
        <f>IFERROR(__xludf.DUMMYFUNCTION("""COMPUTED_VALUE"""),"No")</f>
        <v>No</v>
      </c>
      <c r="AA32" s="19" t="str">
        <f>IFERROR(__xludf.DUMMYFUNCTION("""COMPUTED_VALUE"""),"Yes")</f>
        <v>Yes</v>
      </c>
      <c r="AB32" s="19"/>
      <c r="AC32" s="19" t="str">
        <f>IFERROR(__xludf.DUMMYFUNCTION("""COMPUTED_VALUE"""),"No")</f>
        <v>No</v>
      </c>
      <c r="AD32" s="19" t="str">
        <f>IFERROR(__xludf.DUMMYFUNCTION("""COMPUTED_VALUE"""),"No")</f>
        <v>No</v>
      </c>
      <c r="AE32" s="19" t="str">
        <f>IFERROR(__xludf.DUMMYFUNCTION("""COMPUTED_VALUE"""),"No")</f>
        <v>No</v>
      </c>
      <c r="AF32" s="19" t="str">
        <f>IFERROR(__xludf.DUMMYFUNCTION("""COMPUTED_VALUE"""),"No")</f>
        <v>No</v>
      </c>
      <c r="AG32" s="19" t="str">
        <f>IFERROR(__xludf.DUMMYFUNCTION("""COMPUTED_VALUE"""),"Yes")</f>
        <v>Yes</v>
      </c>
      <c r="AH32" s="19" t="str">
        <f>IFERROR(__xludf.DUMMYFUNCTION("""COMPUTED_VALUE"""),"No")</f>
        <v>No</v>
      </c>
      <c r="AI32" s="19"/>
    </row>
    <row r="33" ht="22.5" customHeight="1">
      <c r="A33" s="19">
        <f>IFERROR(__xludf.DUMMYFUNCTION("""COMPUTED_VALUE"""),2.50826003E8)</f>
        <v>250826003</v>
      </c>
      <c r="B33" s="19" t="str">
        <f>IFERROR(__xludf.DUMMYFUNCTION("""COMPUTED_VALUE"""),"John")</f>
        <v>John</v>
      </c>
      <c r="C33" s="19" t="str">
        <f>IFERROR(__xludf.DUMMYFUNCTION("""COMPUTED_VALUE"""),"JD")</f>
        <v>JD</v>
      </c>
      <c r="D33" s="19" t="str">
        <f>IFERROR(__xludf.DUMMYFUNCTION("""COMPUTED_VALUE"""),"Doe")</f>
        <v>Doe</v>
      </c>
      <c r="E33" s="19" t="str">
        <f>IFERROR(__xludf.DUMMYFUNCTION("""COMPUTED_VALUE"""),"Johnny")</f>
        <v>Johnny</v>
      </c>
      <c r="F33" s="19" t="str">
        <f>IFERROR(__xludf.DUMMYFUNCTION("""COMPUTED_VALUE"""),"Director")</f>
        <v>Director</v>
      </c>
      <c r="G33" s="19"/>
      <c r="H33" s="19"/>
      <c r="I33" s="19" t="str">
        <f>IFERROR(__xludf.DUMMYFUNCTION("""COMPUTED_VALUE"""),"Hourly")</f>
        <v>Hourly</v>
      </c>
      <c r="J33" s="20">
        <f>IFERROR(__xludf.DUMMYFUNCTION("""COMPUTED_VALUE"""),45902.0)</f>
        <v>45902</v>
      </c>
      <c r="K33" s="19" t="str">
        <f>IFERROR(__xludf.DUMMYFUNCTION("""COMPUTED_VALUE"""),"Detroit Edison ")</f>
        <v>Detroit Edison </v>
      </c>
      <c r="L33" s="19" t="str">
        <f>IFERROR(__xludf.DUMMYFUNCTION("""COMPUTED_VALUE"""),"TJ197")</f>
        <v>TJ197</v>
      </c>
      <c r="M33" s="19" t="str">
        <f>IFERROR(__xludf.DUMMYFUNCTION("""COMPUTED_VALUE"""),"Jane Doe")</f>
        <v>Jane Doe</v>
      </c>
      <c r="N33" s="19" t="str">
        <f>IFERROR(__xludf.DUMMYFUNCTION("""COMPUTED_VALUE"""),"Vishal.srikanth@team-group.com")</f>
        <v>Vishal.srikanth@team-group.com</v>
      </c>
      <c r="O33" s="19" t="str">
        <f>IFERROR(__xludf.DUMMYFUNCTION("""COMPUTED_VALUE"""),"No")</f>
        <v>No</v>
      </c>
      <c r="P33" s="19" t="str">
        <f>IFERROR(__xludf.DUMMYFUNCTION("""COMPUTED_VALUE"""),"No")</f>
        <v>No</v>
      </c>
      <c r="Q33" s="19" t="str">
        <f>IFERROR(__xludf.DUMMYFUNCTION("""COMPUTED_VALUE"""),"No")</f>
        <v>No</v>
      </c>
      <c r="R33" s="19" t="str">
        <f>IFERROR(__xludf.DUMMYFUNCTION("""COMPUTED_VALUE"""),"No")</f>
        <v>No</v>
      </c>
      <c r="S33" s="19" t="str">
        <f>IFERROR(__xludf.DUMMYFUNCTION("""COMPUTED_VALUE"""),"No")</f>
        <v>No</v>
      </c>
      <c r="T33" s="19" t="str">
        <f>IFERROR(__xludf.DUMMYFUNCTION("""COMPUTED_VALUE"""),"No")</f>
        <v>No</v>
      </c>
      <c r="U33" s="19" t="str">
        <f>IFERROR(__xludf.DUMMYFUNCTION("""COMPUTED_VALUE"""),"No")</f>
        <v>No</v>
      </c>
      <c r="V33" s="19" t="str">
        <f>IFERROR(__xludf.DUMMYFUNCTION("""COMPUTED_VALUE"""),"No")</f>
        <v>No</v>
      </c>
      <c r="W33" s="19" t="str">
        <f>IFERROR(__xludf.DUMMYFUNCTION("""COMPUTED_VALUE"""),"No")</f>
        <v>No</v>
      </c>
      <c r="X33" s="19" t="str">
        <f>IFERROR(__xludf.DUMMYFUNCTION("""COMPUTED_VALUE"""),"No")</f>
        <v>No</v>
      </c>
      <c r="Y33" s="19" t="str">
        <f>IFERROR(__xludf.DUMMYFUNCTION("""COMPUTED_VALUE"""),"No")</f>
        <v>No</v>
      </c>
      <c r="Z33" s="19" t="str">
        <f>IFERROR(__xludf.DUMMYFUNCTION("""COMPUTED_VALUE"""),"No")</f>
        <v>No</v>
      </c>
      <c r="AA33" s="19" t="str">
        <f>IFERROR(__xludf.DUMMYFUNCTION("""COMPUTED_VALUE"""),"No")</f>
        <v>No</v>
      </c>
      <c r="AB33" s="19"/>
      <c r="AC33" s="19" t="str">
        <f>IFERROR(__xludf.DUMMYFUNCTION("""COMPUTED_VALUE"""),"No")</f>
        <v>No</v>
      </c>
      <c r="AD33" s="19" t="str">
        <f>IFERROR(__xludf.DUMMYFUNCTION("""COMPUTED_VALUE"""),"No")</f>
        <v>No</v>
      </c>
      <c r="AE33" s="19" t="str">
        <f>IFERROR(__xludf.DUMMYFUNCTION("""COMPUTED_VALUE"""),"No")</f>
        <v>No</v>
      </c>
      <c r="AF33" s="19" t="str">
        <f>IFERROR(__xludf.DUMMYFUNCTION("""COMPUTED_VALUE"""),"No")</f>
        <v>No</v>
      </c>
      <c r="AG33" s="19" t="str">
        <f>IFERROR(__xludf.DUMMYFUNCTION("""COMPUTED_VALUE"""),"No")</f>
        <v>No</v>
      </c>
      <c r="AH33" s="19" t="str">
        <f>IFERROR(__xludf.DUMMYFUNCTION("""COMPUTED_VALUE"""),"No")</f>
        <v>No</v>
      </c>
      <c r="AI33" s="19"/>
    </row>
    <row r="34" ht="22.5" customHeight="1">
      <c r="A34" s="19">
        <f>IFERROR(__xludf.DUMMYFUNCTION("""COMPUTED_VALUE"""),2.51125004E8)</f>
        <v>251125004</v>
      </c>
      <c r="B34" s="19" t="str">
        <f>IFERROR(__xludf.DUMMYFUNCTION("""COMPUTED_VALUE"""),"DANIEL")</f>
        <v>DANIEL</v>
      </c>
      <c r="C34" s="19"/>
      <c r="D34" s="19" t="str">
        <f>IFERROR(__xludf.DUMMYFUNCTION("""COMPUTED_VALUE"""),"BINNS")</f>
        <v>BINNS</v>
      </c>
      <c r="E34" s="19"/>
      <c r="F34" s="19" t="str">
        <f>IFERROR(__xludf.DUMMYFUNCTION("""COMPUTED_VALUE"""),"Cleaner")</f>
        <v>Cleaner</v>
      </c>
      <c r="G34" s="19"/>
      <c r="H34" s="19"/>
      <c r="I34" s="19" t="str">
        <f>IFERROR(__xludf.DUMMYFUNCTION("""COMPUTED_VALUE"""),"Hourly")</f>
        <v>Hourly</v>
      </c>
      <c r="J34" s="20">
        <f>IFERROR(__xludf.DUMMYFUNCTION("""COMPUTED_VALUE"""),45986.0)</f>
        <v>45986</v>
      </c>
      <c r="K34" s="19" t="str">
        <f>IFERROR(__xludf.DUMMYFUNCTION("""COMPUTED_VALUE"""),"Chrysler Brampton")</f>
        <v>Chrysler Brampton</v>
      </c>
      <c r="L34" s="19" t="str">
        <f>IFERROR(__xludf.DUMMYFUNCTION("""COMPUTED_VALUE"""),"TJ005")</f>
        <v>TJ005</v>
      </c>
      <c r="M34" s="19" t="str">
        <f>IFERROR(__xludf.DUMMYFUNCTION("""COMPUTED_VALUE"""),"Binns")</f>
        <v>Binns</v>
      </c>
      <c r="N34" s="19" t="str">
        <f>IFERROR(__xludf.DUMMYFUNCTION("""COMPUTED_VALUE"""),"dbinns@team-group.com")</f>
        <v>dbinns@team-group.com</v>
      </c>
      <c r="O34" s="19" t="str">
        <f>IFERROR(__xludf.DUMMYFUNCTION("""COMPUTED_VALUE"""),"No")</f>
        <v>No</v>
      </c>
      <c r="P34" s="19" t="str">
        <f>IFERROR(__xludf.DUMMYFUNCTION("""COMPUTED_VALUE"""),"No")</f>
        <v>No</v>
      </c>
      <c r="Q34" s="19" t="str">
        <f>IFERROR(__xludf.DUMMYFUNCTION("""COMPUTED_VALUE"""),"No")</f>
        <v>No</v>
      </c>
      <c r="R34" s="19" t="str">
        <f>IFERROR(__xludf.DUMMYFUNCTION("""COMPUTED_VALUE"""),"No")</f>
        <v>No</v>
      </c>
      <c r="S34" s="19"/>
      <c r="T34" s="19"/>
      <c r="U34" s="19"/>
      <c r="V34" s="19"/>
      <c r="W34" s="19" t="str">
        <f>IFERROR(__xludf.DUMMYFUNCTION("""COMPUTED_VALUE"""),"No")</f>
        <v>No</v>
      </c>
      <c r="X34" s="19" t="str">
        <f>IFERROR(__xludf.DUMMYFUNCTION("""COMPUTED_VALUE"""),"No")</f>
        <v>No</v>
      </c>
      <c r="Y34" s="19" t="str">
        <f>IFERROR(__xludf.DUMMYFUNCTION("""COMPUTED_VALUE"""),"No")</f>
        <v>No</v>
      </c>
      <c r="Z34" s="19" t="str">
        <f>IFERROR(__xludf.DUMMYFUNCTION("""COMPUTED_VALUE"""),"No")</f>
        <v>No</v>
      </c>
      <c r="AA34" s="19" t="str">
        <f>IFERROR(__xludf.DUMMYFUNCTION("""COMPUTED_VALUE"""),"No")</f>
        <v>No</v>
      </c>
      <c r="AB34" s="19"/>
      <c r="AC34" s="19" t="str">
        <f>IFERROR(__xludf.DUMMYFUNCTION("""COMPUTED_VALUE"""),"No")</f>
        <v>No</v>
      </c>
      <c r="AD34" s="19" t="str">
        <f>IFERROR(__xludf.DUMMYFUNCTION("""COMPUTED_VALUE"""),"No")</f>
        <v>No</v>
      </c>
      <c r="AE34" s="19" t="str">
        <f>IFERROR(__xludf.DUMMYFUNCTION("""COMPUTED_VALUE"""),"No")</f>
        <v>No</v>
      </c>
      <c r="AF34" s="19" t="str">
        <f>IFERROR(__xludf.DUMMYFUNCTION("""COMPUTED_VALUE"""),"No")</f>
        <v>No</v>
      </c>
      <c r="AG34" s="19" t="str">
        <f>IFERROR(__xludf.DUMMYFUNCTION("""COMPUTED_VALUE"""),"No")</f>
        <v>No</v>
      </c>
      <c r="AH34" s="19" t="str">
        <f>IFERROR(__xludf.DUMMYFUNCTION("""COMPUTED_VALUE"""),"No")</f>
        <v>No</v>
      </c>
      <c r="AI34" s="19"/>
    </row>
    <row r="35" ht="22.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ht="22.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ht="22.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ht="22.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ht="22.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ht="22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</row>
    <row r="41" ht="22.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ht="22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</row>
    <row r="43" ht="22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</row>
    <row r="44" ht="22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45" ht="22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</row>
    <row r="46" ht="22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</row>
    <row r="47" ht="22.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</row>
    <row r="48" ht="22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</row>
    <row r="49" ht="22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</row>
    <row r="50" ht="22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</row>
    <row r="51" ht="22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</row>
    <row r="52" ht="22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</row>
    <row r="53" ht="22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</row>
    <row r="54" ht="22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</row>
    <row r="55" ht="22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</row>
    <row r="56" ht="22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</row>
    <row r="57" ht="22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</row>
    <row r="58" ht="22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</row>
    <row r="59" ht="22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</row>
    <row r="60" ht="22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</row>
    <row r="61" ht="22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</row>
    <row r="62" ht="22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</row>
    <row r="63" ht="22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</row>
    <row r="64" ht="22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</row>
    <row r="65" ht="22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</row>
    <row r="66" ht="22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</row>
    <row r="67" ht="22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</row>
    <row r="68" ht="22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</row>
    <row r="69" ht="22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</row>
    <row r="70" ht="22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</row>
    <row r="71" ht="22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</row>
    <row r="72" ht="22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</row>
    <row r="73" ht="22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</row>
    <row r="74" ht="22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</row>
    <row r="75" ht="22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</row>
    <row r="76" ht="22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ht="22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ht="22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ht="22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ht="22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ht="22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ht="22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</row>
    <row r="83" ht="22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</row>
    <row r="84" ht="22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</row>
    <row r="85" ht="22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</row>
    <row r="86" ht="22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</row>
    <row r="87" ht="22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</row>
    <row r="88" ht="22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</row>
    <row r="89" ht="22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</row>
    <row r="90" ht="22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</row>
    <row r="91" ht="22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</row>
    <row r="92" ht="22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</row>
    <row r="93" ht="22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</row>
    <row r="94" ht="22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</row>
    <row r="95" ht="22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</row>
    <row r="96" ht="22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</row>
    <row r="97" ht="22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</row>
    <row r="98" ht="22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</row>
    <row r="99" ht="22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</row>
    <row r="100" ht="22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</row>
    <row r="101" ht="22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</row>
    <row r="102" ht="22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</row>
    <row r="103" ht="22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</row>
    <row r="104" ht="22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</row>
    <row r="105" ht="22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</row>
    <row r="106" ht="22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</row>
    <row r="107" ht="22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</row>
    <row r="108" ht="22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</row>
    <row r="109" ht="22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</row>
    <row r="110" ht="22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</row>
    <row r="111" ht="22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</row>
    <row r="112" ht="22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</row>
    <row r="113" ht="22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</row>
    <row r="114" ht="22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</row>
    <row r="115" ht="22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</row>
    <row r="116" ht="22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</row>
    <row r="117" ht="22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</row>
    <row r="118" ht="22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</row>
    <row r="119" ht="22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</row>
    <row r="120" ht="22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</row>
    <row r="121" ht="22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</row>
    <row r="122" ht="22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</row>
    <row r="123" ht="22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</row>
    <row r="124" ht="22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</row>
    <row r="125" ht="22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</row>
    <row r="126" ht="22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</row>
    <row r="127" ht="22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</row>
    <row r="128" ht="22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</row>
    <row r="129" ht="22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</row>
    <row r="130" ht="22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</row>
    <row r="131" ht="22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</row>
    <row r="132" ht="22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</row>
    <row r="133" ht="22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</row>
    <row r="134" ht="22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</row>
    <row r="135" ht="22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</row>
    <row r="136" ht="22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</row>
    <row r="137" ht="22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</row>
    <row r="138" ht="22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</row>
    <row r="139" ht="22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</row>
    <row r="140" ht="22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</row>
    <row r="141" ht="22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</row>
    <row r="142" ht="22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</row>
    <row r="143" ht="22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</row>
    <row r="144" ht="22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</row>
    <row r="145" ht="22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</row>
    <row r="146" ht="22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</row>
    <row r="147" ht="22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</row>
    <row r="148" ht="22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</row>
    <row r="149" ht="22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</row>
    <row r="150" ht="22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</row>
    <row r="151" ht="22.5" customHeight="1">
      <c r="A151" s="19"/>
      <c r="B151" s="19" t="str">
        <f>'All Responses'!N:N</f>
        <v/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</row>
    <row r="152" ht="22.5" customHeight="1">
      <c r="A152" s="19"/>
      <c r="B152" s="19" t="str">
        <f>'All Responses'!N:N</f>
        <v/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</row>
    <row r="153" ht="22.5" customHeight="1">
      <c r="A153" s="19"/>
      <c r="B153" s="19" t="str">
        <f>'All Responses'!N:N</f>
        <v/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</row>
    <row r="154" ht="22.5" customHeight="1">
      <c r="A154" s="19"/>
      <c r="B154" s="19" t="str">
        <f>'All Responses'!N:N</f>
        <v/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</row>
    <row r="155" ht="22.5" customHeight="1">
      <c r="A155" s="19"/>
      <c r="B155" s="19" t="str">
        <f>'All Responses'!N:N</f>
        <v/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</row>
    <row r="156" ht="22.5" customHeight="1">
      <c r="A156" s="19"/>
      <c r="B156" s="19" t="str">
        <f>'All Responses'!N:N</f>
        <v/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</row>
    <row r="157" ht="22.5" customHeight="1">
      <c r="A157" s="19"/>
      <c r="B157" s="19" t="str">
        <f>'All Responses'!N:N</f>
        <v/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</row>
    <row r="158" ht="22.5" customHeight="1">
      <c r="A158" s="19"/>
      <c r="B158" s="19" t="str">
        <f>'All Responses'!N:N</f>
        <v/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</row>
    <row r="159" ht="22.5" customHeight="1">
      <c r="A159" s="19"/>
      <c r="B159" s="19" t="str">
        <f>'All Responses'!N:N</f>
        <v/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</row>
    <row r="160" ht="22.5" customHeight="1">
      <c r="A160" s="19"/>
      <c r="B160" s="19" t="str">
        <f>'All Responses'!N:N</f>
        <v/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</row>
    <row r="161" ht="22.5" customHeight="1">
      <c r="A161" s="19"/>
      <c r="B161" s="19" t="str">
        <f>'All Responses'!N:N</f>
        <v/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</row>
    <row r="162" ht="22.5" customHeight="1">
      <c r="A162" s="19"/>
      <c r="B162" s="19" t="str">
        <f>'All Responses'!N:N</f>
        <v/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</row>
    <row r="163" ht="22.5" customHeight="1">
      <c r="A163" s="19"/>
      <c r="B163" s="19" t="str">
        <f>'All Responses'!N:N</f>
        <v/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</row>
    <row r="164" ht="22.5" customHeight="1">
      <c r="A164" s="19"/>
      <c r="B164" s="19" t="str">
        <f>'All Responses'!N:N</f>
        <v/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</row>
    <row r="165" ht="22.5" customHeight="1">
      <c r="A165" s="19"/>
      <c r="B165" s="19" t="str">
        <f>'All Responses'!N:N</f>
        <v/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</row>
    <row r="166" ht="22.5" customHeight="1">
      <c r="A166" s="19"/>
      <c r="B166" s="19" t="str">
        <f>'All Responses'!N:N</f>
        <v/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</row>
    <row r="167" ht="22.5" customHeight="1">
      <c r="A167" s="19"/>
      <c r="B167" s="19" t="str">
        <f>'All Responses'!N:N</f>
        <v/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</row>
    <row r="168" ht="22.5" customHeight="1">
      <c r="A168" s="19"/>
      <c r="B168" s="19" t="str">
        <f>'All Responses'!N:N</f>
        <v/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</row>
    <row r="169" ht="22.5" customHeight="1">
      <c r="A169" s="19"/>
      <c r="B169" s="19" t="str">
        <f>'All Responses'!N:N</f>
        <v/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</row>
    <row r="170" ht="22.5" customHeight="1">
      <c r="A170" s="19"/>
      <c r="B170" s="19" t="str">
        <f>'All Responses'!N:N</f>
        <v/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</row>
    <row r="171" ht="22.5" customHeight="1">
      <c r="A171" s="19"/>
      <c r="B171" s="19" t="str">
        <f>'All Responses'!N:N</f>
        <v/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</row>
    <row r="172" ht="22.5" customHeight="1">
      <c r="A172" s="19"/>
      <c r="B172" s="19" t="str">
        <f>'All Responses'!N:N</f>
        <v/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</row>
    <row r="173" ht="22.5" customHeight="1">
      <c r="A173" s="19"/>
      <c r="B173" s="19" t="str">
        <f>'All Responses'!N:N</f>
        <v/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</row>
    <row r="174" ht="22.5" customHeight="1">
      <c r="A174" s="19"/>
      <c r="B174" s="19" t="str">
        <f>'All Responses'!N:N</f>
        <v/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</row>
    <row r="175" ht="22.5" customHeight="1">
      <c r="A175" s="19"/>
      <c r="B175" s="19" t="str">
        <f>'All Responses'!N:N</f>
        <v/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</row>
    <row r="176" ht="22.5" customHeight="1">
      <c r="A176" s="19"/>
      <c r="B176" s="19" t="str">
        <f>'All Responses'!N:N</f>
        <v/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</row>
    <row r="177" ht="22.5" customHeight="1">
      <c r="A177" s="19"/>
      <c r="B177" s="19" t="str">
        <f>'All Responses'!N:N</f>
        <v/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</row>
    <row r="178" ht="22.5" customHeight="1">
      <c r="A178" s="19"/>
      <c r="B178" s="19" t="str">
        <f>'All Responses'!N:N</f>
        <v/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</row>
    <row r="179" ht="22.5" customHeight="1">
      <c r="A179" s="19"/>
      <c r="B179" s="19" t="str">
        <f>'All Responses'!N:N</f>
        <v/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</row>
    <row r="180" ht="22.5" customHeight="1">
      <c r="A180" s="19"/>
      <c r="B180" s="19" t="str">
        <f>'All Responses'!N:N</f>
        <v/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</row>
    <row r="181" ht="22.5" customHeight="1">
      <c r="A181" s="19"/>
      <c r="B181" s="19" t="str">
        <f>'All Responses'!N:N</f>
        <v/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</row>
    <row r="182" ht="22.5" customHeight="1">
      <c r="A182" s="19"/>
      <c r="B182" s="19" t="str">
        <f>'All Responses'!N:N</f>
        <v/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</row>
    <row r="183" ht="22.5" customHeight="1">
      <c r="A183" s="19"/>
      <c r="B183" s="19" t="str">
        <f>'All Responses'!N:N</f>
        <v/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</row>
    <row r="184" ht="22.5" customHeight="1">
      <c r="A184" s="19"/>
      <c r="B184" s="19" t="str">
        <f>'All Responses'!N:N</f>
        <v/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</row>
    <row r="185" ht="22.5" customHeight="1">
      <c r="A185" s="19"/>
      <c r="B185" s="19" t="str">
        <f>'All Responses'!N:N</f>
        <v/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</row>
    <row r="186" ht="22.5" customHeight="1">
      <c r="A186" s="19"/>
      <c r="B186" s="19" t="str">
        <f>'All Responses'!N:N</f>
        <v/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</row>
    <row r="187" ht="22.5" customHeight="1">
      <c r="A187" s="19"/>
      <c r="B187" s="19" t="str">
        <f>'All Responses'!N:N</f>
        <v/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</row>
    <row r="188" ht="22.5" customHeight="1">
      <c r="A188" s="19"/>
      <c r="B188" s="19" t="str">
        <f>'All Responses'!N:N</f>
        <v/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</row>
    <row r="189" ht="22.5" customHeight="1">
      <c r="A189" s="19"/>
      <c r="B189" s="19" t="str">
        <f>'All Responses'!N:N</f>
        <v/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</row>
    <row r="190" ht="22.5" customHeight="1">
      <c r="A190" s="19"/>
      <c r="B190" s="19" t="str">
        <f>'All Responses'!N:N</f>
        <v/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</row>
    <row r="191" ht="22.5" customHeight="1">
      <c r="A191" s="19"/>
      <c r="B191" s="19" t="str">
        <f>'All Responses'!N:N</f>
        <v/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</row>
    <row r="192" ht="22.5" customHeight="1">
      <c r="A192" s="19"/>
      <c r="B192" s="19" t="str">
        <f>'All Responses'!N:N</f>
        <v/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</row>
    <row r="193" ht="22.5" customHeight="1">
      <c r="A193" s="19"/>
      <c r="B193" s="19" t="str">
        <f>'All Responses'!N:N</f>
        <v/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</row>
    <row r="194" ht="22.5" customHeight="1">
      <c r="A194" s="19"/>
      <c r="B194" s="19" t="str">
        <f>'All Responses'!N:N</f>
        <v/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</row>
    <row r="195" ht="22.5" customHeight="1">
      <c r="A195" s="19"/>
      <c r="B195" s="19" t="str">
        <f>'All Responses'!N:N</f>
        <v/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</row>
    <row r="196" ht="22.5" customHeight="1">
      <c r="A196" s="19"/>
      <c r="B196" s="19" t="str">
        <f>'All Responses'!N:N</f>
        <v/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</row>
    <row r="197" ht="22.5" customHeight="1">
      <c r="A197" s="19"/>
      <c r="B197" s="19" t="str">
        <f>'All Responses'!N:N</f>
        <v/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</row>
    <row r="198" ht="22.5" customHeight="1">
      <c r="A198" s="19"/>
      <c r="B198" s="19" t="str">
        <f>'All Responses'!N:N</f>
        <v/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</row>
    <row r="199" ht="22.5" customHeight="1">
      <c r="A199" s="19"/>
      <c r="B199" s="19" t="str">
        <f>'All Responses'!N:N</f>
        <v/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</row>
    <row r="200" ht="22.5" customHeight="1">
      <c r="A200" s="19"/>
      <c r="B200" s="19" t="str">
        <f>'All Responses'!N:N</f>
        <v/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</row>
    <row r="201" ht="22.5" customHeight="1">
      <c r="A201" s="19"/>
      <c r="B201" s="19" t="str">
        <f>'All Responses'!N:N</f>
        <v/>
      </c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</row>
    <row r="202" ht="22.5" customHeight="1">
      <c r="A202" s="19"/>
      <c r="B202" s="19" t="str">
        <f>'All Responses'!N:N</f>
        <v/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</row>
    <row r="203" ht="22.5" customHeight="1">
      <c r="A203" s="19"/>
      <c r="B203" s="19" t="str">
        <f>'All Responses'!N:N</f>
        <v/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</row>
    <row r="204" ht="22.5" customHeight="1">
      <c r="A204" s="19"/>
      <c r="B204" s="19" t="str">
        <f>'All Responses'!N:N</f>
        <v/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</row>
    <row r="205" ht="22.5" customHeight="1">
      <c r="A205" s="19"/>
      <c r="B205" s="19" t="str">
        <f>'All Responses'!N:N</f>
        <v/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</row>
    <row r="206" ht="22.5" customHeight="1">
      <c r="A206" s="19"/>
      <c r="B206" s="19" t="str">
        <f>'All Responses'!N:N</f>
        <v/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</row>
    <row r="207" ht="22.5" customHeight="1">
      <c r="A207" s="19"/>
      <c r="B207" s="19" t="str">
        <f>'All Responses'!N:N</f>
        <v/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</row>
    <row r="208" ht="22.5" customHeight="1">
      <c r="A208" s="19"/>
      <c r="B208" s="19" t="str">
        <f>'All Responses'!N:N</f>
        <v/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</row>
    <row r="209" ht="22.5" customHeight="1">
      <c r="A209" s="19"/>
      <c r="B209" s="19" t="str">
        <f>'All Responses'!N:N</f>
        <v/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</row>
    <row r="210" ht="22.5" customHeight="1">
      <c r="A210" s="19"/>
      <c r="B210" s="19" t="str">
        <f>'All Responses'!N:N</f>
        <v/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</row>
    <row r="211" ht="22.5" customHeight="1">
      <c r="A211" s="19"/>
      <c r="B211" s="19" t="str">
        <f>'All Responses'!N:N</f>
        <v/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</row>
    <row r="212" ht="22.5" customHeight="1">
      <c r="A212" s="19"/>
      <c r="B212" s="19" t="str">
        <f>'All Responses'!N:N</f>
        <v/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</row>
    <row r="213" ht="22.5" customHeight="1">
      <c r="A213" s="19"/>
      <c r="B213" s="19" t="str">
        <f>'All Responses'!N:N</f>
        <v/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</row>
    <row r="214" ht="22.5" customHeight="1">
      <c r="A214" s="19"/>
      <c r="B214" s="19" t="str">
        <f>'All Responses'!N:N</f>
        <v/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</row>
    <row r="215" ht="22.5" customHeight="1">
      <c r="A215" s="19"/>
      <c r="B215" s="19" t="str">
        <f>'All Responses'!N:N</f>
        <v/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</row>
    <row r="216" ht="22.5" customHeight="1">
      <c r="A216" s="19"/>
      <c r="B216" s="19" t="str">
        <f>'All Responses'!N:N</f>
        <v/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</row>
    <row r="217" ht="22.5" customHeight="1">
      <c r="A217" s="19"/>
      <c r="B217" s="19" t="str">
        <f>'All Responses'!N:N</f>
        <v/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</row>
    <row r="218" ht="22.5" customHeight="1">
      <c r="A218" s="19"/>
      <c r="B218" s="19" t="str">
        <f>'All Responses'!N:N</f>
        <v/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</row>
    <row r="219" ht="22.5" customHeight="1">
      <c r="A219" s="19"/>
      <c r="B219" s="19" t="str">
        <f>'All Responses'!N:N</f>
        <v/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</row>
    <row r="220" ht="22.5" customHeight="1">
      <c r="A220" s="19"/>
      <c r="B220" s="19" t="str">
        <f>'All Responses'!N:N</f>
        <v/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</row>
    <row r="221" ht="22.5" customHeight="1">
      <c r="A221" s="19"/>
      <c r="B221" s="19" t="str">
        <f>'All Responses'!N:N</f>
        <v/>
      </c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</row>
    <row r="222" ht="22.5" customHeight="1">
      <c r="A222" s="19"/>
      <c r="B222" s="19" t="str">
        <f>'All Responses'!N:N</f>
        <v/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</row>
    <row r="223" ht="22.5" customHeight="1">
      <c r="A223" s="19"/>
      <c r="B223" s="19" t="str">
        <f>'All Responses'!N:N</f>
        <v/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</row>
    <row r="224" ht="22.5" customHeight="1">
      <c r="A224" s="19"/>
      <c r="B224" s="19" t="str">
        <f>'All Responses'!N:N</f>
        <v/>
      </c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</row>
    <row r="225" ht="22.5" customHeight="1">
      <c r="A225" s="19"/>
      <c r="B225" s="19" t="str">
        <f>'All Responses'!N:N</f>
        <v/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</row>
    <row r="226" ht="22.5" customHeight="1">
      <c r="A226" s="19"/>
      <c r="B226" s="19" t="str">
        <f>'All Responses'!N:N</f>
        <v/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</row>
    <row r="227" ht="22.5" customHeight="1">
      <c r="A227" s="19"/>
      <c r="B227" s="19" t="str">
        <f>'All Responses'!N:N</f>
        <v/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</row>
    <row r="228" ht="22.5" customHeight="1">
      <c r="A228" s="19"/>
      <c r="B228" s="19" t="str">
        <f>'All Responses'!N:N</f>
        <v/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</row>
    <row r="229" ht="22.5" customHeight="1">
      <c r="A229" s="19"/>
      <c r="B229" s="19" t="str">
        <f>'All Responses'!N:N</f>
        <v/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</row>
    <row r="230" ht="22.5" customHeight="1">
      <c r="A230" s="19"/>
      <c r="B230" s="19" t="str">
        <f>'All Responses'!N:N</f>
        <v/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</row>
    <row r="231" ht="22.5" customHeight="1">
      <c r="A231" s="19"/>
      <c r="B231" s="19" t="str">
        <f>'All Responses'!N:N</f>
        <v/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</row>
    <row r="232" ht="22.5" customHeight="1">
      <c r="A232" s="19"/>
      <c r="B232" s="19" t="str">
        <f>'All Responses'!N:N</f>
        <v/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</row>
    <row r="233" ht="22.5" customHeight="1">
      <c r="A233" s="19"/>
      <c r="B233" s="19" t="str">
        <f>'All Responses'!N:N</f>
        <v/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</row>
    <row r="234" ht="22.5" customHeight="1">
      <c r="A234" s="19"/>
      <c r="B234" s="19" t="str">
        <f>'All Responses'!N:N</f>
        <v/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</row>
    <row r="235" ht="22.5" customHeight="1">
      <c r="A235" s="19"/>
      <c r="B235" s="19" t="str">
        <f>'All Responses'!N:N</f>
        <v/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</row>
    <row r="236" ht="22.5" customHeight="1">
      <c r="A236" s="19"/>
      <c r="B236" s="19" t="str">
        <f>'All Responses'!N:N</f>
        <v/>
      </c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</row>
    <row r="237" ht="22.5" customHeight="1">
      <c r="A237" s="19"/>
      <c r="B237" s="19" t="str">
        <f>'All Responses'!N:N</f>
        <v/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</row>
    <row r="238" ht="22.5" customHeight="1">
      <c r="A238" s="19"/>
      <c r="B238" s="19" t="str">
        <f>'All Responses'!N:N</f>
        <v/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</row>
    <row r="239" ht="22.5" customHeight="1">
      <c r="A239" s="19"/>
      <c r="B239" s="19" t="str">
        <f>'All Responses'!N:N</f>
        <v/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</row>
    <row r="240" ht="22.5" customHeight="1">
      <c r="A240" s="19"/>
      <c r="B240" s="19" t="str">
        <f>'All Responses'!N:N</f>
        <v/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</row>
    <row r="241" ht="22.5" customHeight="1">
      <c r="A241" s="19"/>
      <c r="B241" s="19" t="str">
        <f>'All Responses'!N:N</f>
        <v/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</row>
    <row r="242" ht="22.5" customHeight="1">
      <c r="A242" s="19"/>
      <c r="B242" s="19" t="str">
        <f>'All Responses'!N:N</f>
        <v/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</row>
    <row r="243" ht="22.5" customHeight="1">
      <c r="A243" s="19"/>
      <c r="B243" s="19" t="str">
        <f>'All Responses'!N:N</f>
        <v/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</row>
    <row r="244" ht="22.5" customHeight="1">
      <c r="A244" s="19"/>
      <c r="B244" s="19" t="str">
        <f>'All Responses'!N:N</f>
        <v/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</row>
    <row r="245" ht="22.5" customHeight="1">
      <c r="A245" s="19"/>
      <c r="B245" s="19" t="str">
        <f>'All Responses'!N:N</f>
        <v/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</row>
    <row r="246" ht="22.5" customHeight="1">
      <c r="A246" s="19"/>
      <c r="B246" s="19" t="str">
        <f>'All Responses'!N:N</f>
        <v/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</row>
    <row r="247" ht="22.5" customHeight="1">
      <c r="A247" s="19"/>
      <c r="B247" s="19" t="str">
        <f>'All Responses'!N:N</f>
        <v/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</row>
    <row r="248" ht="22.5" customHeight="1">
      <c r="A248" s="19"/>
      <c r="B248" s="19" t="str">
        <f>'All Responses'!N:N</f>
        <v/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</row>
    <row r="249" ht="22.5" customHeight="1">
      <c r="A249" s="19"/>
      <c r="B249" s="19" t="str">
        <f>'All Responses'!N:N</f>
        <v/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</row>
    <row r="250" ht="22.5" customHeight="1">
      <c r="A250" s="19"/>
      <c r="B250" s="19" t="str">
        <f>'All Responses'!N:N</f>
        <v/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</row>
    <row r="251" ht="22.5" customHeight="1">
      <c r="A251" s="19"/>
      <c r="B251" s="19" t="str">
        <f>'All Responses'!N:N</f>
        <v/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</row>
    <row r="252" ht="22.5" customHeight="1">
      <c r="A252" s="19"/>
      <c r="B252" s="19" t="str">
        <f>'All Responses'!N:N</f>
        <v/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</row>
    <row r="253" ht="22.5" customHeight="1">
      <c r="A253" s="19"/>
      <c r="B253" s="19" t="str">
        <f>'All Responses'!N:N</f>
        <v/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</row>
    <row r="254" ht="22.5" customHeight="1">
      <c r="A254" s="19"/>
      <c r="B254" s="19" t="str">
        <f>'All Responses'!N:N</f>
        <v/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</row>
    <row r="255" ht="22.5" customHeight="1">
      <c r="A255" s="19"/>
      <c r="B255" s="19" t="str">
        <f>'All Responses'!N:N</f>
        <v/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</row>
    <row r="256" ht="22.5" customHeight="1">
      <c r="A256" s="19"/>
      <c r="B256" s="19" t="str">
        <f>'All Responses'!N:N</f>
        <v/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</row>
    <row r="257" ht="22.5" customHeight="1">
      <c r="A257" s="19"/>
      <c r="B257" s="19" t="str">
        <f>'All Responses'!N:N</f>
        <v/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</row>
    <row r="258" ht="22.5" customHeight="1">
      <c r="A258" s="19"/>
      <c r="B258" s="19" t="str">
        <f>'All Responses'!N:N</f>
        <v/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</row>
    <row r="259" ht="22.5" customHeight="1">
      <c r="A259" s="19"/>
      <c r="B259" s="19" t="str">
        <f>'All Responses'!N:N</f>
        <v/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</row>
    <row r="260" ht="22.5" customHeight="1">
      <c r="A260" s="19"/>
      <c r="B260" s="19" t="str">
        <f>'All Responses'!N:N</f>
        <v/>
      </c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</row>
    <row r="261" ht="22.5" customHeight="1">
      <c r="A261" s="19"/>
      <c r="B261" s="19" t="str">
        <f>'All Responses'!N:N</f>
        <v/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</row>
    <row r="262" ht="22.5" customHeight="1">
      <c r="A262" s="19"/>
      <c r="B262" s="19" t="str">
        <f>'All Responses'!N:N</f>
        <v/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</row>
    <row r="263" ht="22.5" customHeight="1">
      <c r="A263" s="19"/>
      <c r="B263" s="19" t="str">
        <f>'All Responses'!N:N</f>
        <v/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</row>
    <row r="264" ht="22.5" customHeight="1">
      <c r="A264" s="19"/>
      <c r="B264" s="19" t="str">
        <f>'All Responses'!N:N</f>
        <v/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</row>
    <row r="265" ht="22.5" customHeight="1">
      <c r="A265" s="19"/>
      <c r="B265" s="19" t="str">
        <f>'All Responses'!N:N</f>
        <v/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</row>
    <row r="266" ht="22.5" customHeight="1">
      <c r="A266" s="19"/>
      <c r="B266" s="19" t="str">
        <f>'All Responses'!N:N</f>
        <v/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</row>
    <row r="267" ht="22.5" customHeight="1">
      <c r="A267" s="19"/>
      <c r="B267" s="19" t="str">
        <f>'All Responses'!N:N</f>
        <v/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</row>
    <row r="268" ht="22.5" customHeight="1">
      <c r="A268" s="19"/>
      <c r="B268" s="19" t="str">
        <f>'All Responses'!N:N</f>
        <v/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</row>
    <row r="269" ht="22.5" customHeight="1">
      <c r="A269" s="19"/>
      <c r="B269" s="19" t="str">
        <f>'All Responses'!N:N</f>
        <v/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</row>
    <row r="270" ht="22.5" customHeight="1">
      <c r="A270" s="19"/>
      <c r="B270" s="19" t="str">
        <f>'All Responses'!N:N</f>
        <v/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</row>
    <row r="271" ht="22.5" customHeight="1">
      <c r="A271" s="19"/>
      <c r="B271" s="19" t="str">
        <f>'All Responses'!N:N</f>
        <v/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</row>
    <row r="272" ht="22.5" customHeight="1">
      <c r="A272" s="19"/>
      <c r="B272" s="19" t="str">
        <f>'All Responses'!N:N</f>
        <v/>
      </c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</row>
    <row r="273" ht="22.5" customHeight="1">
      <c r="A273" s="19"/>
      <c r="B273" s="19" t="str">
        <f>'All Responses'!N:N</f>
        <v/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</row>
    <row r="274" ht="22.5" customHeight="1">
      <c r="A274" s="19"/>
      <c r="B274" s="19" t="str">
        <f>'All Responses'!N:N</f>
        <v/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</row>
    <row r="275" ht="22.5" customHeight="1">
      <c r="A275" s="19"/>
      <c r="B275" s="19" t="str">
        <f>'All Responses'!N:N</f>
        <v/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</row>
    <row r="276" ht="22.5" customHeight="1">
      <c r="A276" s="19"/>
      <c r="B276" s="19" t="str">
        <f>'All Responses'!N:N</f>
        <v/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</row>
    <row r="277" ht="22.5" customHeight="1">
      <c r="A277" s="19"/>
      <c r="B277" s="19" t="str">
        <f>'All Responses'!N:N</f>
        <v/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</row>
    <row r="278" ht="22.5" customHeight="1">
      <c r="A278" s="19"/>
      <c r="B278" s="19" t="str">
        <f>'All Responses'!N:N</f>
        <v/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</row>
    <row r="279" ht="22.5" customHeight="1">
      <c r="A279" s="19"/>
      <c r="B279" s="19" t="str">
        <f>'All Responses'!N:N</f>
        <v/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</row>
    <row r="280" ht="22.5" customHeight="1">
      <c r="A280" s="19"/>
      <c r="B280" s="19" t="str">
        <f>'All Responses'!N:N</f>
        <v/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</row>
    <row r="281" ht="22.5" customHeight="1">
      <c r="A281" s="19"/>
      <c r="B281" s="19" t="str">
        <f>'All Responses'!N:N</f>
        <v/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</row>
    <row r="282" ht="22.5" customHeight="1">
      <c r="A282" s="19"/>
      <c r="B282" s="19" t="str">
        <f>'All Responses'!N:N</f>
        <v/>
      </c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</row>
    <row r="283" ht="22.5" customHeight="1">
      <c r="A283" s="19"/>
      <c r="B283" s="19" t="str">
        <f>'All Responses'!N:N</f>
        <v/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</row>
    <row r="284" ht="22.5" customHeight="1">
      <c r="A284" s="19"/>
      <c r="B284" s="19" t="str">
        <f>'All Responses'!N:N</f>
        <v/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</row>
    <row r="285" ht="22.5" customHeight="1">
      <c r="A285" s="19"/>
      <c r="B285" s="19" t="str">
        <f>'All Responses'!N:N</f>
        <v/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</row>
    <row r="286" ht="22.5" customHeight="1">
      <c r="A286" s="19"/>
      <c r="B286" s="19" t="str">
        <f>'All Responses'!N:N</f>
        <v/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</row>
    <row r="287" ht="22.5" customHeight="1">
      <c r="A287" s="19"/>
      <c r="B287" s="19" t="str">
        <f>'All Responses'!N:N</f>
        <v/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</row>
    <row r="288" ht="22.5" customHeight="1">
      <c r="A288" s="19"/>
      <c r="B288" s="19" t="str">
        <f>'All Responses'!N:N</f>
        <v/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</row>
    <row r="289" ht="22.5" customHeight="1">
      <c r="A289" s="19"/>
      <c r="B289" s="19" t="str">
        <f>'All Responses'!N:N</f>
        <v/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</row>
    <row r="290" ht="22.5" customHeight="1">
      <c r="A290" s="19"/>
      <c r="B290" s="19" t="str">
        <f>'All Responses'!N:N</f>
        <v/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</row>
    <row r="291" ht="22.5" customHeight="1">
      <c r="A291" s="19"/>
      <c r="B291" s="19" t="str">
        <f>'All Responses'!N:N</f>
        <v/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</row>
    <row r="292" ht="22.5" customHeight="1">
      <c r="A292" s="19"/>
      <c r="B292" s="19" t="str">
        <f>'All Responses'!N:N</f>
        <v/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</row>
    <row r="293" ht="22.5" customHeight="1">
      <c r="A293" s="19"/>
      <c r="B293" s="19" t="str">
        <f>'All Responses'!N:N</f>
        <v/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</row>
    <row r="294" ht="22.5" customHeight="1">
      <c r="A294" s="19"/>
      <c r="B294" s="19" t="str">
        <f>'All Responses'!N:N</f>
        <v/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</row>
    <row r="295" ht="22.5" customHeight="1">
      <c r="A295" s="19"/>
      <c r="B295" s="19" t="str">
        <f>'All Responses'!N:N</f>
        <v/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</row>
    <row r="296" ht="22.5" customHeight="1">
      <c r="A296" s="19"/>
      <c r="B296" s="19" t="str">
        <f>'All Responses'!N:N</f>
        <v/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</row>
    <row r="297" ht="22.5" customHeight="1">
      <c r="A297" s="19"/>
      <c r="B297" s="19" t="str">
        <f>'All Responses'!N:N</f>
        <v/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</row>
    <row r="298" ht="22.5" customHeight="1">
      <c r="A298" s="19"/>
      <c r="B298" s="19" t="str">
        <f>'All Responses'!N:N</f>
        <v/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</row>
    <row r="299" ht="22.5" customHeight="1">
      <c r="A299" s="19"/>
      <c r="B299" s="19" t="str">
        <f>'All Responses'!N:N</f>
        <v/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</row>
    <row r="300" ht="22.5" customHeight="1">
      <c r="A300" s="19"/>
      <c r="B300" s="19" t="str">
        <f>'All Responses'!N:N</f>
        <v/>
      </c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</row>
    <row r="301" ht="22.5" customHeight="1">
      <c r="A301" s="19"/>
      <c r="B301" s="19" t="str">
        <f>'All Responses'!N:N</f>
        <v/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</row>
    <row r="302" ht="22.5" customHeight="1">
      <c r="A302" s="19"/>
      <c r="B302" s="19" t="str">
        <f>'All Responses'!N:N</f>
        <v/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</row>
    <row r="303" ht="22.5" customHeight="1">
      <c r="A303" s="19"/>
      <c r="B303" s="19" t="str">
        <f>'All Responses'!N:N</f>
        <v/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</row>
    <row r="304" ht="22.5" customHeight="1">
      <c r="A304" s="19"/>
      <c r="B304" s="19" t="str">
        <f>'All Responses'!N:N</f>
        <v/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</row>
    <row r="305" ht="22.5" customHeight="1">
      <c r="A305" s="19"/>
      <c r="B305" s="19" t="str">
        <f>'All Responses'!N:N</f>
        <v/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</row>
    <row r="306" ht="22.5" customHeight="1">
      <c r="A306" s="19"/>
      <c r="B306" s="19" t="str">
        <f>'All Responses'!N:N</f>
        <v/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</row>
    <row r="307" ht="22.5" customHeight="1">
      <c r="A307" s="19"/>
      <c r="B307" s="19" t="str">
        <f>'All Responses'!N:N</f>
        <v/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</row>
    <row r="308" ht="22.5" customHeight="1">
      <c r="A308" s="19"/>
      <c r="B308" s="19" t="str">
        <f>'All Responses'!N:N</f>
        <v/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</row>
    <row r="309" ht="22.5" customHeight="1">
      <c r="A309" s="19"/>
      <c r="B309" s="19" t="str">
        <f>'All Responses'!N:N</f>
        <v/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</row>
    <row r="310" ht="22.5" customHeight="1">
      <c r="A310" s="19"/>
      <c r="B310" s="19" t="str">
        <f>'All Responses'!N:N</f>
        <v/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</row>
    <row r="311" ht="22.5" customHeight="1">
      <c r="A311" s="19"/>
      <c r="B311" s="19" t="str">
        <f>'All Responses'!N:N</f>
        <v/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</row>
    <row r="312" ht="22.5" customHeight="1">
      <c r="A312" s="19"/>
      <c r="B312" s="19" t="str">
        <f>'All Responses'!N:N</f>
        <v/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</row>
    <row r="313" ht="22.5" customHeight="1">
      <c r="A313" s="19"/>
      <c r="B313" s="19" t="str">
        <f>'All Responses'!N:N</f>
        <v/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</row>
    <row r="314" ht="22.5" customHeight="1">
      <c r="A314" s="19"/>
      <c r="B314" s="19" t="str">
        <f>'All Responses'!N:N</f>
        <v/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</row>
    <row r="315" ht="22.5" customHeight="1">
      <c r="A315" s="19"/>
      <c r="B315" s="19" t="str">
        <f>'All Responses'!N:N</f>
        <v/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</row>
    <row r="316" ht="22.5" customHeight="1">
      <c r="A316" s="19"/>
      <c r="B316" s="19" t="str">
        <f>'All Responses'!N:N</f>
        <v/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</row>
    <row r="317" ht="22.5" customHeight="1">
      <c r="A317" s="19"/>
      <c r="B317" s="19" t="str">
        <f>'All Responses'!N:N</f>
        <v/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</row>
    <row r="318" ht="22.5" customHeight="1">
      <c r="A318" s="19"/>
      <c r="B318" s="19" t="str">
        <f>'All Responses'!N:N</f>
        <v/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</row>
    <row r="319" ht="22.5" customHeight="1">
      <c r="A319" s="19"/>
      <c r="B319" s="19" t="str">
        <f>'All Responses'!N:N</f>
        <v/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</row>
    <row r="320" ht="22.5" customHeight="1">
      <c r="A320" s="19"/>
      <c r="B320" s="19" t="str">
        <f>'All Responses'!N:N</f>
        <v/>
      </c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</row>
    <row r="321" ht="22.5" customHeight="1">
      <c r="A321" s="19"/>
      <c r="B321" s="19" t="str">
        <f>'All Responses'!N:N</f>
        <v/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</row>
    <row r="322" ht="22.5" customHeight="1">
      <c r="A322" s="19"/>
      <c r="B322" s="19" t="str">
        <f>'All Responses'!N:N</f>
        <v/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</row>
    <row r="323" ht="22.5" customHeight="1">
      <c r="A323" s="19"/>
      <c r="B323" s="19" t="str">
        <f>'All Responses'!N:N</f>
        <v/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</row>
    <row r="324" ht="22.5" customHeight="1">
      <c r="A324" s="19"/>
      <c r="B324" s="19" t="str">
        <f>'All Responses'!N:N</f>
        <v/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</row>
    <row r="325" ht="22.5" customHeight="1">
      <c r="A325" s="19"/>
      <c r="B325" s="19" t="str">
        <f>'All Responses'!N:N</f>
        <v/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</row>
    <row r="326" ht="22.5" customHeight="1">
      <c r="A326" s="19"/>
      <c r="B326" s="19" t="str">
        <f>'All Responses'!N:N</f>
        <v/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</row>
    <row r="327" ht="22.5" customHeight="1">
      <c r="A327" s="19"/>
      <c r="B327" s="19" t="str">
        <f>'All Responses'!N:N</f>
        <v/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</row>
    <row r="328" ht="22.5" customHeight="1">
      <c r="A328" s="19"/>
      <c r="B328" s="19" t="str">
        <f>'All Responses'!N:N</f>
        <v/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</row>
    <row r="329" ht="22.5" customHeight="1">
      <c r="A329" s="19"/>
      <c r="B329" s="19" t="str">
        <f>'All Responses'!N:N</f>
        <v/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</row>
    <row r="330" ht="22.5" customHeight="1">
      <c r="A330" s="19"/>
      <c r="B330" s="19" t="str">
        <f>'All Responses'!N:N</f>
        <v/>
      </c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</row>
    <row r="331" ht="22.5" customHeight="1">
      <c r="A331" s="19"/>
      <c r="B331" s="19" t="str">
        <f>'All Responses'!N:N</f>
        <v/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</row>
    <row r="332" ht="22.5" customHeight="1">
      <c r="A332" s="19"/>
      <c r="B332" s="19" t="str">
        <f>'All Responses'!N:N</f>
        <v/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</row>
    <row r="333" ht="22.5" customHeight="1">
      <c r="A333" s="19"/>
      <c r="B333" s="19" t="str">
        <f>'All Responses'!N:N</f>
        <v/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</row>
    <row r="334" ht="22.5" customHeight="1">
      <c r="A334" s="19"/>
      <c r="B334" s="19" t="str">
        <f>'All Responses'!N:N</f>
        <v/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</row>
    <row r="335" ht="22.5" customHeight="1">
      <c r="A335" s="19"/>
      <c r="B335" s="19" t="str">
        <f>'All Responses'!N:N</f>
        <v/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</row>
    <row r="336" ht="22.5" customHeight="1">
      <c r="A336" s="19"/>
      <c r="B336" s="19" t="str">
        <f>'All Responses'!N:N</f>
        <v/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</row>
    <row r="337" ht="22.5" customHeight="1">
      <c r="A337" s="19"/>
      <c r="B337" s="19" t="str">
        <f>'All Responses'!N:N</f>
        <v/>
      </c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</row>
    <row r="338" ht="22.5" customHeight="1">
      <c r="A338" s="19"/>
      <c r="B338" s="19" t="str">
        <f>'All Responses'!N:N</f>
        <v/>
      </c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</row>
    <row r="339" ht="22.5" customHeight="1">
      <c r="A339" s="19"/>
      <c r="B339" s="19" t="str">
        <f>'All Responses'!N:N</f>
        <v/>
      </c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</row>
    <row r="340" ht="22.5" customHeight="1">
      <c r="A340" s="19"/>
      <c r="B340" s="19" t="str">
        <f>'All Responses'!N:N</f>
        <v/>
      </c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</row>
    <row r="341" ht="22.5" customHeight="1">
      <c r="A341" s="19"/>
      <c r="B341" s="19" t="str">
        <f>'All Responses'!N:N</f>
        <v/>
      </c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</row>
    <row r="342" ht="22.5" customHeight="1">
      <c r="A342" s="19"/>
      <c r="B342" s="19" t="str">
        <f>'All Responses'!N:N</f>
        <v/>
      </c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</row>
    <row r="343" ht="22.5" customHeight="1">
      <c r="A343" s="19"/>
      <c r="B343" s="19" t="str">
        <f>'All Responses'!N:N</f>
        <v/>
      </c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</row>
    <row r="344" ht="22.5" customHeight="1">
      <c r="A344" s="19"/>
      <c r="B344" s="19" t="str">
        <f>'All Responses'!N:N</f>
        <v/>
      </c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</row>
    <row r="345" ht="22.5" customHeight="1">
      <c r="A345" s="19"/>
      <c r="B345" s="19" t="str">
        <f>'All Responses'!N:N</f>
        <v/>
      </c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</row>
    <row r="346" ht="22.5" customHeight="1">
      <c r="A346" s="19"/>
      <c r="B346" s="19" t="str">
        <f>'All Responses'!N:N</f>
        <v/>
      </c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</row>
    <row r="347" ht="22.5" customHeight="1">
      <c r="A347" s="19"/>
      <c r="B347" s="19" t="str">
        <f>'All Responses'!N:N</f>
        <v/>
      </c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</row>
    <row r="348" ht="22.5" customHeight="1">
      <c r="A348" s="19"/>
      <c r="B348" s="19" t="str">
        <f>'All Responses'!N:N</f>
        <v/>
      </c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</row>
    <row r="349" ht="22.5" customHeight="1">
      <c r="A349" s="19"/>
      <c r="B349" s="19" t="str">
        <f>'All Responses'!N:N</f>
        <v/>
      </c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</row>
    <row r="350" ht="22.5" customHeight="1">
      <c r="A350" s="19"/>
      <c r="B350" s="19" t="str">
        <f>'All Responses'!N:N</f>
        <v/>
      </c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</row>
    <row r="351" ht="22.5" customHeight="1">
      <c r="A351" s="19"/>
      <c r="B351" s="19" t="str">
        <f>'All Responses'!N:N</f>
        <v/>
      </c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</row>
    <row r="352" ht="22.5" customHeight="1">
      <c r="A352" s="19"/>
      <c r="B352" s="19" t="str">
        <f>'All Responses'!N:N</f>
        <v/>
      </c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</row>
    <row r="353" ht="22.5" customHeight="1">
      <c r="A353" s="19"/>
      <c r="B353" s="19" t="str">
        <f>'All Responses'!N:N</f>
        <v/>
      </c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</row>
    <row r="354" ht="22.5" customHeight="1">
      <c r="A354" s="19"/>
      <c r="B354" s="19" t="str">
        <f>'All Responses'!N:N</f>
        <v/>
      </c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</row>
    <row r="355" ht="22.5" customHeight="1">
      <c r="A355" s="19"/>
      <c r="B355" s="19" t="str">
        <f>'All Responses'!N:N</f>
        <v/>
      </c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</row>
    <row r="356" ht="22.5" customHeight="1">
      <c r="A356" s="19"/>
      <c r="B356" s="19" t="str">
        <f>'All Responses'!N:N</f>
        <v/>
      </c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</row>
    <row r="357" ht="22.5" customHeight="1">
      <c r="A357" s="19"/>
      <c r="B357" s="19" t="str">
        <f>'All Responses'!N:N</f>
        <v/>
      </c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</row>
    <row r="358" ht="22.5" customHeight="1">
      <c r="A358" s="19"/>
      <c r="B358" s="19" t="str">
        <f>'All Responses'!N:N</f>
        <v/>
      </c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</row>
    <row r="359" ht="22.5" customHeight="1">
      <c r="A359" s="19"/>
      <c r="B359" s="19" t="str">
        <f>'All Responses'!N:N</f>
        <v/>
      </c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</row>
    <row r="360" ht="22.5" customHeight="1">
      <c r="A360" s="19"/>
      <c r="B360" s="19" t="str">
        <f>'All Responses'!N:N</f>
        <v/>
      </c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</row>
    <row r="361" ht="22.5" customHeight="1">
      <c r="A361" s="19"/>
      <c r="B361" s="19" t="str">
        <f>'All Responses'!N:N</f>
        <v/>
      </c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</row>
    <row r="362" ht="22.5" customHeight="1">
      <c r="A362" s="19"/>
      <c r="B362" s="19" t="str">
        <f>'All Responses'!N:N</f>
        <v/>
      </c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</row>
    <row r="363" ht="22.5" customHeight="1">
      <c r="A363" s="19"/>
      <c r="B363" s="19" t="str">
        <f>'All Responses'!N:N</f>
        <v/>
      </c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</row>
    <row r="364" ht="22.5" customHeight="1">
      <c r="A364" s="19"/>
      <c r="B364" s="19" t="str">
        <f>'All Responses'!N:N</f>
        <v/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</row>
    <row r="365" ht="22.5" customHeight="1">
      <c r="A365" s="19"/>
      <c r="B365" s="19" t="str">
        <f>'All Responses'!N:N</f>
        <v/>
      </c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</row>
    <row r="366" ht="22.5" customHeight="1">
      <c r="A366" s="19"/>
      <c r="B366" s="19" t="str">
        <f>'All Responses'!N:N</f>
        <v/>
      </c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</row>
    <row r="367" ht="22.5" customHeight="1">
      <c r="A367" s="19"/>
      <c r="B367" s="19" t="str">
        <f>'All Responses'!N:N</f>
        <v/>
      </c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</row>
    <row r="368" ht="22.5" customHeight="1">
      <c r="A368" s="19"/>
      <c r="B368" s="19" t="str">
        <f>'All Responses'!N:N</f>
        <v/>
      </c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</row>
    <row r="369" ht="22.5" customHeight="1">
      <c r="A369" s="19"/>
      <c r="B369" s="19" t="str">
        <f>'All Responses'!N:N</f>
        <v/>
      </c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</row>
    <row r="370" ht="22.5" customHeight="1">
      <c r="A370" s="19"/>
      <c r="B370" s="19" t="str">
        <f>'All Responses'!N:N</f>
        <v/>
      </c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</row>
    <row r="371" ht="22.5" customHeight="1">
      <c r="A371" s="19"/>
      <c r="B371" s="19" t="str">
        <f>'All Responses'!N:N</f>
        <v/>
      </c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</row>
    <row r="372" ht="22.5" customHeight="1">
      <c r="A372" s="19"/>
      <c r="B372" s="19" t="str">
        <f>'All Responses'!N:N</f>
        <v/>
      </c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</row>
    <row r="373" ht="22.5" customHeight="1">
      <c r="A373" s="19"/>
      <c r="B373" s="19" t="str">
        <f>'All Responses'!N:N</f>
        <v/>
      </c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</row>
    <row r="374" ht="22.5" customHeight="1">
      <c r="A374" s="19"/>
      <c r="B374" s="19" t="str">
        <f>'All Responses'!N:N</f>
        <v/>
      </c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</row>
    <row r="375" ht="22.5" customHeight="1">
      <c r="A375" s="19"/>
      <c r="B375" s="19" t="str">
        <f>'All Responses'!N:N</f>
        <v/>
      </c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</row>
    <row r="376" ht="22.5" customHeight="1">
      <c r="A376" s="19"/>
      <c r="B376" s="19" t="str">
        <f>'All Responses'!N:N</f>
        <v/>
      </c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</row>
    <row r="377" ht="22.5" customHeight="1">
      <c r="A377" s="19"/>
      <c r="B377" s="19" t="str">
        <f>'All Responses'!N:N</f>
        <v/>
      </c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</row>
    <row r="378" ht="22.5" customHeight="1">
      <c r="A378" s="19"/>
      <c r="B378" s="19" t="str">
        <f>'All Responses'!N:N</f>
        <v/>
      </c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</row>
    <row r="379" ht="22.5" customHeight="1">
      <c r="A379" s="19"/>
      <c r="B379" s="19" t="str">
        <f>'All Responses'!N:N</f>
        <v/>
      </c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</row>
    <row r="380" ht="22.5" customHeight="1">
      <c r="A380" s="19"/>
      <c r="B380" s="19" t="str">
        <f>'All Responses'!N:N</f>
        <v/>
      </c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</row>
    <row r="381" ht="22.5" customHeight="1">
      <c r="A381" s="19"/>
      <c r="B381" s="19" t="str">
        <f>'All Responses'!N:N</f>
        <v/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</row>
    <row r="382" ht="22.5" customHeight="1">
      <c r="A382" s="19"/>
      <c r="B382" s="19" t="str">
        <f>'All Responses'!N:N</f>
        <v/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</row>
    <row r="383" ht="22.5" customHeight="1">
      <c r="A383" s="19"/>
      <c r="B383" s="19" t="str">
        <f>'All Responses'!N:N</f>
        <v/>
      </c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</row>
    <row r="384" ht="22.5" customHeight="1">
      <c r="A384" s="19"/>
      <c r="B384" s="19" t="str">
        <f>'All Responses'!N:N</f>
        <v/>
      </c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</row>
    <row r="385" ht="22.5" customHeight="1">
      <c r="A385" s="19"/>
      <c r="B385" s="19" t="str">
        <f>'All Responses'!N:N</f>
        <v/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</row>
    <row r="386" ht="22.5" customHeight="1">
      <c r="A386" s="19"/>
      <c r="B386" s="19" t="str">
        <f>'All Responses'!N:N</f>
        <v/>
      </c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</row>
    <row r="387" ht="22.5" customHeight="1">
      <c r="A387" s="19"/>
      <c r="B387" s="19" t="str">
        <f>'All Responses'!N:N</f>
        <v/>
      </c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</row>
    <row r="388" ht="22.5" customHeight="1">
      <c r="A388" s="19"/>
      <c r="B388" s="19" t="str">
        <f>'All Responses'!N:N</f>
        <v/>
      </c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</row>
    <row r="389" ht="22.5" customHeight="1">
      <c r="A389" s="19"/>
      <c r="B389" s="19" t="str">
        <f>'All Responses'!N:N</f>
        <v/>
      </c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</row>
    <row r="390" ht="22.5" customHeight="1">
      <c r="A390" s="19"/>
      <c r="B390" s="19" t="str">
        <f>'All Responses'!N:N</f>
        <v/>
      </c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</row>
    <row r="391" ht="22.5" customHeight="1">
      <c r="A391" s="19"/>
      <c r="B391" s="19" t="str">
        <f>'All Responses'!N:N</f>
        <v/>
      </c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</row>
    <row r="392" ht="22.5" customHeight="1">
      <c r="A392" s="19"/>
      <c r="B392" s="19" t="str">
        <f>'All Responses'!N:N</f>
        <v/>
      </c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</row>
    <row r="393" ht="22.5" customHeight="1">
      <c r="A393" s="19"/>
      <c r="B393" s="19" t="str">
        <f>'All Responses'!N:N</f>
        <v/>
      </c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</row>
    <row r="394" ht="22.5" customHeight="1">
      <c r="A394" s="19"/>
      <c r="B394" s="19" t="str">
        <f>'All Responses'!N:N</f>
        <v/>
      </c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</row>
    <row r="395" ht="22.5" customHeight="1">
      <c r="A395" s="19"/>
      <c r="B395" s="19" t="str">
        <f>'All Responses'!N:N</f>
        <v/>
      </c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</row>
    <row r="396" ht="22.5" customHeight="1">
      <c r="A396" s="19"/>
      <c r="B396" s="19" t="str">
        <f>'All Responses'!N:N</f>
        <v/>
      </c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</row>
    <row r="397" ht="22.5" customHeight="1">
      <c r="A397" s="19"/>
      <c r="B397" s="19" t="str">
        <f>'All Responses'!N:N</f>
        <v/>
      </c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</row>
    <row r="398" ht="22.5" customHeight="1">
      <c r="A398" s="19"/>
      <c r="B398" s="19" t="str">
        <f>'All Responses'!N:N</f>
        <v/>
      </c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</row>
    <row r="399" ht="22.5" customHeight="1">
      <c r="A399" s="19"/>
      <c r="B399" s="19" t="str">
        <f>'All Responses'!N:N</f>
        <v/>
      </c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</row>
    <row r="400" ht="22.5" customHeight="1">
      <c r="A400" s="19"/>
      <c r="B400" s="19" t="str">
        <f>'All Responses'!N:N</f>
        <v/>
      </c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</row>
    <row r="401" ht="22.5" customHeight="1">
      <c r="A401" s="19"/>
      <c r="B401" s="19" t="str">
        <f>'All Responses'!N:N</f>
        <v/>
      </c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</row>
    <row r="402" ht="22.5" customHeight="1">
      <c r="A402" s="19"/>
      <c r="B402" s="19" t="str">
        <f>'All Responses'!N:N</f>
        <v/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</row>
    <row r="403" ht="22.5" customHeight="1">
      <c r="A403" s="19"/>
      <c r="B403" s="19" t="str">
        <f>'All Responses'!N:N</f>
        <v/>
      </c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</row>
    <row r="404" ht="22.5" customHeight="1">
      <c r="A404" s="19"/>
      <c r="B404" s="19" t="str">
        <f>'All Responses'!N:N</f>
        <v/>
      </c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</row>
    <row r="405" ht="22.5" customHeight="1">
      <c r="A405" s="19"/>
      <c r="B405" s="19" t="str">
        <f>'All Responses'!N:N</f>
        <v/>
      </c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</row>
    <row r="406" ht="22.5" customHeight="1">
      <c r="A406" s="19"/>
      <c r="B406" s="19" t="str">
        <f>'All Responses'!N:N</f>
        <v/>
      </c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</row>
    <row r="407" ht="22.5" customHeight="1">
      <c r="A407" s="19"/>
      <c r="B407" s="19" t="str">
        <f>'All Responses'!N:N</f>
        <v/>
      </c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</row>
    <row r="408" ht="22.5" customHeight="1">
      <c r="A408" s="19"/>
      <c r="B408" s="19" t="str">
        <f>'All Responses'!N:N</f>
        <v/>
      </c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</row>
    <row r="409" ht="22.5" customHeight="1">
      <c r="A409" s="19"/>
      <c r="B409" s="19" t="str">
        <f>'All Responses'!N:N</f>
        <v/>
      </c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</row>
    <row r="410" ht="22.5" customHeight="1">
      <c r="A410" s="19"/>
      <c r="B410" s="19" t="str">
        <f>'All Responses'!N:N</f>
        <v/>
      </c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</row>
    <row r="411" ht="22.5" customHeight="1">
      <c r="A411" s="19"/>
      <c r="B411" s="19" t="str">
        <f>'All Responses'!N:N</f>
        <v/>
      </c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</row>
    <row r="412" ht="22.5" customHeight="1">
      <c r="A412" s="19"/>
      <c r="B412" s="19" t="str">
        <f>'All Responses'!N:N</f>
        <v/>
      </c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</row>
    <row r="413" ht="22.5" customHeight="1">
      <c r="A413" s="19"/>
      <c r="B413" s="19" t="str">
        <f>'All Responses'!N:N</f>
        <v/>
      </c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</row>
    <row r="414" ht="22.5" customHeight="1">
      <c r="A414" s="19"/>
      <c r="B414" s="19" t="str">
        <f>'All Responses'!N:N</f>
        <v/>
      </c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</row>
    <row r="415" ht="22.5" customHeight="1">
      <c r="A415" s="19"/>
      <c r="B415" s="19" t="str">
        <f>'All Responses'!N:N</f>
        <v/>
      </c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</row>
    <row r="416" ht="22.5" customHeight="1">
      <c r="A416" s="19"/>
      <c r="B416" s="19" t="str">
        <f>'All Responses'!N:N</f>
        <v/>
      </c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</row>
    <row r="417" ht="22.5" customHeight="1">
      <c r="A417" s="19"/>
      <c r="B417" s="19" t="str">
        <f>'All Responses'!N:N</f>
        <v/>
      </c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</row>
    <row r="418" ht="22.5" customHeight="1">
      <c r="A418" s="19"/>
      <c r="B418" s="19" t="str">
        <f>'All Responses'!N:N</f>
        <v/>
      </c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</row>
    <row r="419" ht="22.5" customHeight="1">
      <c r="A419" s="19"/>
      <c r="B419" s="19" t="str">
        <f>'All Responses'!N:N</f>
        <v/>
      </c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</row>
    <row r="420" ht="22.5" customHeight="1">
      <c r="A420" s="19"/>
      <c r="B420" s="19" t="str">
        <f>'All Responses'!N:N</f>
        <v/>
      </c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</row>
    <row r="421" ht="22.5" customHeight="1">
      <c r="A421" s="19"/>
      <c r="B421" s="19" t="str">
        <f>'All Responses'!N:N</f>
        <v/>
      </c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</row>
    <row r="422" ht="22.5" customHeight="1">
      <c r="A422" s="19"/>
      <c r="B422" s="19" t="str">
        <f>'All Responses'!N:N</f>
        <v/>
      </c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</row>
    <row r="423" ht="22.5" customHeight="1">
      <c r="A423" s="19"/>
      <c r="B423" s="19" t="str">
        <f>'All Responses'!N:N</f>
        <v/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</row>
    <row r="424" ht="22.5" customHeight="1">
      <c r="A424" s="19"/>
      <c r="B424" s="19" t="str">
        <f>'All Responses'!N:N</f>
        <v/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</row>
    <row r="425" ht="22.5" customHeight="1">
      <c r="A425" s="19"/>
      <c r="B425" s="19" t="str">
        <f>'All Responses'!N:N</f>
        <v/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</row>
    <row r="426" ht="22.5" customHeight="1">
      <c r="A426" s="19"/>
      <c r="B426" s="19" t="str">
        <f>'All Responses'!N:N</f>
        <v/>
      </c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</row>
    <row r="427" ht="22.5" customHeight="1">
      <c r="A427" s="19"/>
      <c r="B427" s="19" t="str">
        <f>'All Responses'!N:N</f>
        <v/>
      </c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</row>
    <row r="428" ht="22.5" customHeight="1">
      <c r="A428" s="19"/>
      <c r="B428" s="19" t="str">
        <f>'All Responses'!N:N</f>
        <v/>
      </c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</row>
    <row r="429" ht="22.5" customHeight="1">
      <c r="A429" s="19"/>
      <c r="B429" s="19" t="str">
        <f>'All Responses'!N:N</f>
        <v/>
      </c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</row>
    <row r="430" ht="22.5" customHeight="1">
      <c r="A430" s="19"/>
      <c r="B430" s="19" t="str">
        <f>'All Responses'!N:N</f>
        <v/>
      </c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</row>
    <row r="431" ht="22.5" customHeight="1">
      <c r="A431" s="19"/>
      <c r="B431" s="19" t="str">
        <f>'All Responses'!N:N</f>
        <v/>
      </c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</row>
    <row r="432" ht="22.5" customHeight="1">
      <c r="A432" s="19"/>
      <c r="B432" s="19" t="str">
        <f>'All Responses'!N:N</f>
        <v/>
      </c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</row>
    <row r="433" ht="22.5" customHeight="1">
      <c r="A433" s="19"/>
      <c r="B433" s="19" t="str">
        <f>'All Responses'!N:N</f>
        <v/>
      </c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</row>
    <row r="434" ht="22.5" customHeight="1">
      <c r="A434" s="19"/>
      <c r="B434" s="19" t="str">
        <f>'All Responses'!N:N</f>
        <v/>
      </c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</row>
    <row r="435" ht="22.5" customHeight="1">
      <c r="A435" s="19"/>
      <c r="B435" s="19" t="str">
        <f>'All Responses'!N:N</f>
        <v/>
      </c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</row>
    <row r="436" ht="22.5" customHeight="1">
      <c r="A436" s="19"/>
      <c r="B436" s="19" t="str">
        <f>'All Responses'!N:N</f>
        <v/>
      </c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</row>
    <row r="437" ht="22.5" customHeight="1">
      <c r="A437" s="19"/>
      <c r="B437" s="19" t="str">
        <f>'All Responses'!N:N</f>
        <v/>
      </c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</row>
    <row r="438" ht="22.5" customHeight="1">
      <c r="A438" s="19"/>
      <c r="B438" s="19" t="str">
        <f>'All Responses'!N:N</f>
        <v/>
      </c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</row>
    <row r="439" ht="22.5" customHeight="1">
      <c r="A439" s="19"/>
      <c r="B439" s="19" t="str">
        <f>'All Responses'!N:N</f>
        <v/>
      </c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</row>
    <row r="440" ht="22.5" customHeight="1">
      <c r="A440" s="19"/>
      <c r="B440" s="19" t="str">
        <f>'All Responses'!N:N</f>
        <v/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</row>
    <row r="441" ht="22.5" customHeight="1">
      <c r="A441" s="19"/>
      <c r="B441" s="19" t="str">
        <f>'All Responses'!N:N</f>
        <v/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</row>
    <row r="442" ht="22.5" customHeight="1">
      <c r="A442" s="19"/>
      <c r="B442" s="19" t="str">
        <f>'All Responses'!N:N</f>
        <v/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</row>
    <row r="443" ht="22.5" customHeight="1">
      <c r="A443" s="19"/>
      <c r="B443" s="19" t="str">
        <f>'All Responses'!N:N</f>
        <v/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</row>
    <row r="444" ht="22.5" customHeight="1">
      <c r="A444" s="19"/>
      <c r="B444" s="19" t="str">
        <f>'All Responses'!N:N</f>
        <v/>
      </c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</row>
    <row r="445" ht="22.5" customHeight="1">
      <c r="A445" s="19"/>
      <c r="B445" s="19" t="str">
        <f>'All Responses'!N:N</f>
        <v/>
      </c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</row>
    <row r="446" ht="22.5" customHeight="1">
      <c r="A446" s="19"/>
      <c r="B446" s="19" t="str">
        <f>'All Responses'!N:N</f>
        <v/>
      </c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</row>
    <row r="447" ht="22.5" customHeight="1">
      <c r="A447" s="19"/>
      <c r="B447" s="19" t="str">
        <f>'All Responses'!N:N</f>
        <v/>
      </c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</row>
    <row r="448" ht="22.5" customHeight="1">
      <c r="A448" s="19"/>
      <c r="B448" s="19" t="str">
        <f>'All Responses'!N:N</f>
        <v/>
      </c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</row>
    <row r="449" ht="22.5" customHeight="1">
      <c r="A449" s="19"/>
      <c r="B449" s="19" t="str">
        <f>'All Responses'!N:N</f>
        <v/>
      </c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</row>
    <row r="450" ht="22.5" customHeight="1">
      <c r="A450" s="19"/>
      <c r="B450" s="19" t="str">
        <f>'All Responses'!N:N</f>
        <v/>
      </c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</row>
    <row r="451" ht="22.5" customHeight="1">
      <c r="A451" s="19"/>
      <c r="B451" s="19" t="str">
        <f>'All Responses'!N:N</f>
        <v/>
      </c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</row>
    <row r="452" ht="22.5" customHeight="1">
      <c r="A452" s="19"/>
      <c r="B452" s="19" t="str">
        <f>'All Responses'!N:N</f>
        <v/>
      </c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</row>
    <row r="453" ht="22.5" customHeight="1">
      <c r="A453" s="19"/>
      <c r="B453" s="19" t="str">
        <f>'All Responses'!N:N</f>
        <v/>
      </c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</row>
    <row r="454" ht="22.5" customHeight="1">
      <c r="A454" s="19"/>
      <c r="B454" s="19" t="str">
        <f>'All Responses'!N:N</f>
        <v/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</row>
    <row r="455" ht="22.5" customHeight="1">
      <c r="A455" s="19"/>
      <c r="B455" s="19" t="str">
        <f>'All Responses'!N:N</f>
        <v/>
      </c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</row>
    <row r="456" ht="22.5" customHeight="1">
      <c r="A456" s="19"/>
      <c r="B456" s="19" t="str">
        <f>'All Responses'!N:N</f>
        <v/>
      </c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</row>
    <row r="457" ht="22.5" customHeight="1">
      <c r="A457" s="19"/>
      <c r="B457" s="19" t="str">
        <f>'All Responses'!N:N</f>
        <v/>
      </c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</row>
    <row r="458" ht="22.5" customHeight="1">
      <c r="A458" s="19"/>
      <c r="B458" s="19" t="str">
        <f>'All Responses'!N:N</f>
        <v/>
      </c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</row>
    <row r="459" ht="22.5" customHeight="1">
      <c r="A459" s="19"/>
      <c r="B459" s="19" t="str">
        <f>'All Responses'!N:N</f>
        <v/>
      </c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</row>
    <row r="460" ht="22.5" customHeight="1">
      <c r="A460" s="19"/>
      <c r="B460" s="19" t="str">
        <f>'All Responses'!N:N</f>
        <v/>
      </c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</row>
    <row r="461" ht="22.5" customHeight="1">
      <c r="A461" s="19"/>
      <c r="B461" s="19" t="str">
        <f>'All Responses'!N:N</f>
        <v/>
      </c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</row>
    <row r="462" ht="22.5" customHeight="1">
      <c r="A462" s="19"/>
      <c r="B462" s="19" t="str">
        <f>'All Responses'!N:N</f>
        <v/>
      </c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</row>
    <row r="463" ht="22.5" customHeight="1">
      <c r="A463" s="19"/>
      <c r="B463" s="19" t="str">
        <f>'All Responses'!N:N</f>
        <v/>
      </c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</row>
    <row r="464" ht="22.5" customHeight="1">
      <c r="A464" s="19"/>
      <c r="B464" s="19" t="str">
        <f>'All Responses'!N:N</f>
        <v/>
      </c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</row>
    <row r="465" ht="22.5" customHeight="1">
      <c r="A465" s="19"/>
      <c r="B465" s="19" t="str">
        <f>'All Responses'!N:N</f>
        <v/>
      </c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</row>
    <row r="466" ht="22.5" customHeight="1">
      <c r="A466" s="19"/>
      <c r="B466" s="19" t="str">
        <f>'All Responses'!N:N</f>
        <v/>
      </c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</row>
    <row r="467" ht="22.5" customHeight="1">
      <c r="A467" s="19"/>
      <c r="B467" s="19" t="str">
        <f>'All Responses'!N:N</f>
        <v/>
      </c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</row>
    <row r="468" ht="22.5" customHeight="1">
      <c r="A468" s="19"/>
      <c r="B468" s="19" t="str">
        <f>'All Responses'!N:N</f>
        <v/>
      </c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</row>
    <row r="469" ht="22.5" customHeight="1">
      <c r="A469" s="19"/>
      <c r="B469" s="19" t="str">
        <f>'All Responses'!N:N</f>
        <v/>
      </c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</row>
    <row r="470" ht="22.5" customHeight="1">
      <c r="A470" s="19"/>
      <c r="B470" s="19" t="str">
        <f>'All Responses'!N:N</f>
        <v/>
      </c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</row>
    <row r="471" ht="22.5" customHeight="1">
      <c r="A471" s="19"/>
      <c r="B471" s="19" t="str">
        <f>'All Responses'!N:N</f>
        <v/>
      </c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</row>
    <row r="472" ht="22.5" customHeight="1">
      <c r="A472" s="19"/>
      <c r="B472" s="19" t="str">
        <f>'All Responses'!N:N</f>
        <v/>
      </c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</row>
    <row r="473" ht="22.5" customHeight="1">
      <c r="A473" s="19"/>
      <c r="B473" s="19" t="str">
        <f>'All Responses'!N:N</f>
        <v/>
      </c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</row>
    <row r="474" ht="22.5" customHeight="1">
      <c r="A474" s="19"/>
      <c r="B474" s="19" t="str">
        <f>'All Responses'!N:N</f>
        <v/>
      </c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</row>
    <row r="475" ht="22.5" customHeight="1">
      <c r="A475" s="19"/>
      <c r="B475" s="19" t="str">
        <f>'All Responses'!N:N</f>
        <v/>
      </c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</row>
    <row r="476" ht="22.5" customHeight="1">
      <c r="A476" s="19"/>
      <c r="B476" s="19" t="str">
        <f>'All Responses'!N:N</f>
        <v/>
      </c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</row>
    <row r="477" ht="22.5" customHeight="1">
      <c r="A477" s="19"/>
      <c r="B477" s="19" t="str">
        <f>'All Responses'!N:N</f>
        <v/>
      </c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</row>
    <row r="478" ht="22.5" customHeight="1">
      <c r="A478" s="19"/>
      <c r="B478" s="19" t="str">
        <f>'All Responses'!N:N</f>
        <v/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</row>
    <row r="479" ht="22.5" customHeight="1">
      <c r="A479" s="19"/>
      <c r="B479" s="19" t="str">
        <f>'All Responses'!N:N</f>
        <v/>
      </c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</row>
    <row r="480" ht="22.5" customHeight="1">
      <c r="A480" s="19"/>
      <c r="B480" s="19" t="str">
        <f>'All Responses'!N:N</f>
        <v/>
      </c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</row>
    <row r="481" ht="22.5" customHeight="1">
      <c r="A481" s="19"/>
      <c r="B481" s="19" t="str">
        <f>'All Responses'!N:N</f>
        <v/>
      </c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</row>
    <row r="482" ht="22.5" customHeight="1">
      <c r="A482" s="19"/>
      <c r="B482" s="19" t="str">
        <f>'All Responses'!N:N</f>
        <v/>
      </c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</row>
    <row r="483" ht="22.5" customHeight="1">
      <c r="A483" s="19"/>
      <c r="B483" s="19" t="str">
        <f>'All Responses'!N:N</f>
        <v/>
      </c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</row>
    <row r="484" ht="22.5" customHeight="1">
      <c r="A484" s="19"/>
      <c r="B484" s="19" t="str">
        <f>'All Responses'!N:N</f>
        <v/>
      </c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</row>
    <row r="485" ht="22.5" customHeight="1">
      <c r="A485" s="19"/>
      <c r="B485" s="19" t="str">
        <f>'All Responses'!N:N</f>
        <v/>
      </c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</row>
    <row r="486" ht="22.5" customHeight="1">
      <c r="A486" s="19"/>
      <c r="B486" s="19" t="str">
        <f>'All Responses'!N:N</f>
        <v/>
      </c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</row>
    <row r="487" ht="22.5" customHeight="1">
      <c r="A487" s="19"/>
      <c r="B487" s="19" t="str">
        <f>'All Responses'!N:N</f>
        <v/>
      </c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</row>
    <row r="488" ht="22.5" customHeight="1">
      <c r="A488" s="19"/>
      <c r="B488" s="19" t="str">
        <f>'All Responses'!N:N</f>
        <v/>
      </c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</row>
    <row r="489" ht="22.5" customHeight="1">
      <c r="A489" s="19"/>
      <c r="B489" s="19" t="str">
        <f>'All Responses'!N:N</f>
        <v/>
      </c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</row>
    <row r="490" ht="22.5" customHeight="1">
      <c r="A490" s="19"/>
      <c r="B490" s="19" t="str">
        <f>'All Responses'!N:N</f>
        <v/>
      </c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</row>
    <row r="491" ht="22.5" customHeight="1">
      <c r="A491" s="19"/>
      <c r="B491" s="19" t="str">
        <f>'All Responses'!N:N</f>
        <v/>
      </c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</row>
    <row r="492" ht="22.5" customHeight="1">
      <c r="A492" s="19"/>
      <c r="B492" s="19" t="str">
        <f>'All Responses'!N:N</f>
        <v/>
      </c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</row>
    <row r="493" ht="22.5" customHeight="1">
      <c r="A493" s="19"/>
      <c r="B493" s="19" t="str">
        <f>'All Responses'!N:N</f>
        <v/>
      </c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</row>
    <row r="494" ht="22.5" customHeight="1">
      <c r="A494" s="19"/>
      <c r="B494" s="19" t="str">
        <f>'All Responses'!N:N</f>
        <v/>
      </c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</row>
    <row r="495" ht="22.5" customHeight="1">
      <c r="A495" s="19"/>
      <c r="B495" s="19" t="str">
        <f>'All Responses'!N:N</f>
        <v/>
      </c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</row>
    <row r="496" ht="22.5" customHeight="1">
      <c r="A496" s="19"/>
      <c r="B496" s="19" t="str">
        <f>'All Responses'!N:N</f>
        <v/>
      </c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</row>
    <row r="497" ht="22.5" customHeight="1">
      <c r="A497" s="19"/>
      <c r="B497" s="19" t="str">
        <f>'All Responses'!N:N</f>
        <v/>
      </c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</row>
    <row r="498" ht="22.5" customHeight="1">
      <c r="A498" s="19"/>
      <c r="B498" s="19" t="str">
        <f>'All Responses'!N:N</f>
        <v/>
      </c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</row>
    <row r="499" ht="22.5" customHeight="1">
      <c r="A499" s="19"/>
      <c r="B499" s="19" t="str">
        <f>'All Responses'!N:N</f>
        <v/>
      </c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</row>
    <row r="500" ht="22.5" customHeight="1">
      <c r="A500" s="19"/>
      <c r="B500" s="19" t="str">
        <f>'All Responses'!N:N</f>
        <v/>
      </c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</row>
    <row r="501" ht="22.5" customHeight="1">
      <c r="A501" s="19"/>
      <c r="B501" s="19" t="str">
        <f>'All Responses'!N:N</f>
        <v/>
      </c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</row>
    <row r="502" ht="22.5" customHeight="1">
      <c r="A502" s="19"/>
      <c r="B502" s="19" t="str">
        <f>'All Responses'!N:N</f>
        <v/>
      </c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</row>
    <row r="503" ht="22.5" customHeight="1">
      <c r="A503" s="19"/>
      <c r="B503" s="19" t="str">
        <f>'All Responses'!N:N</f>
        <v/>
      </c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</row>
    <row r="504" ht="22.5" customHeight="1">
      <c r="A504" s="19"/>
      <c r="B504" s="19" t="str">
        <f>'All Responses'!N:N</f>
        <v/>
      </c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</row>
    <row r="505" ht="22.5" customHeight="1">
      <c r="A505" s="19"/>
      <c r="B505" s="19" t="str">
        <f>'All Responses'!N:N</f>
        <v/>
      </c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</row>
    <row r="506" ht="22.5" customHeight="1">
      <c r="A506" s="19"/>
      <c r="B506" s="19" t="str">
        <f>'All Responses'!N:N</f>
        <v/>
      </c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</row>
    <row r="507" ht="22.5" customHeight="1">
      <c r="A507" s="19"/>
      <c r="B507" s="19" t="str">
        <f>'All Responses'!N:N</f>
        <v/>
      </c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</row>
    <row r="508" ht="22.5" customHeight="1">
      <c r="A508" s="19"/>
      <c r="B508" s="19" t="str">
        <f>'All Responses'!N:N</f>
        <v/>
      </c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</row>
    <row r="509" ht="22.5" customHeight="1">
      <c r="A509" s="19"/>
      <c r="B509" s="19" t="str">
        <f>'All Responses'!N:N</f>
        <v/>
      </c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</row>
    <row r="510" ht="22.5" customHeight="1">
      <c r="A510" s="19"/>
      <c r="B510" s="19" t="str">
        <f>'All Responses'!N:N</f>
        <v/>
      </c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</row>
    <row r="511" ht="22.5" customHeight="1">
      <c r="A511" s="19"/>
      <c r="B511" s="19" t="str">
        <f>'All Responses'!N:N</f>
        <v/>
      </c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</row>
    <row r="512" ht="22.5" customHeight="1">
      <c r="A512" s="19"/>
      <c r="B512" s="19" t="str">
        <f>'All Responses'!N:N</f>
        <v/>
      </c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</row>
    <row r="513" ht="22.5" customHeight="1">
      <c r="A513" s="19"/>
      <c r="B513" s="19" t="str">
        <f>'All Responses'!N:N</f>
        <v/>
      </c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</row>
    <row r="514" ht="22.5" customHeight="1">
      <c r="A514" s="19"/>
      <c r="B514" s="19" t="str">
        <f>'All Responses'!N:N</f>
        <v/>
      </c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</row>
    <row r="515" ht="22.5" customHeight="1">
      <c r="A515" s="19"/>
      <c r="B515" s="19" t="str">
        <f>'All Responses'!N:N</f>
        <v/>
      </c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</row>
    <row r="516" ht="22.5" customHeight="1">
      <c r="A516" s="19"/>
      <c r="B516" s="19" t="str">
        <f>'All Responses'!N:N</f>
        <v/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</row>
    <row r="517" ht="22.5" customHeight="1">
      <c r="A517" s="19"/>
      <c r="B517" s="19" t="str">
        <f>'All Responses'!N:N</f>
        <v/>
      </c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</row>
    <row r="518" ht="22.5" customHeight="1">
      <c r="A518" s="19"/>
      <c r="B518" s="19" t="str">
        <f>'All Responses'!N:N</f>
        <v/>
      </c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</row>
    <row r="519" ht="22.5" customHeight="1">
      <c r="A519" s="19"/>
      <c r="B519" s="19" t="str">
        <f>'All Responses'!N:N</f>
        <v/>
      </c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</row>
    <row r="520" ht="22.5" customHeight="1">
      <c r="A520" s="19"/>
      <c r="B520" s="19" t="str">
        <f>'All Responses'!N:N</f>
        <v/>
      </c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</row>
    <row r="521" ht="22.5" customHeight="1">
      <c r="A521" s="19"/>
      <c r="B521" s="19" t="str">
        <f>'All Responses'!N:N</f>
        <v/>
      </c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</row>
    <row r="522" ht="22.5" customHeight="1">
      <c r="A522" s="19"/>
      <c r="B522" s="19" t="str">
        <f>'All Responses'!N:N</f>
        <v/>
      </c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</row>
    <row r="523" ht="22.5" customHeight="1">
      <c r="A523" s="19"/>
      <c r="B523" s="19" t="str">
        <f>'All Responses'!N:N</f>
        <v/>
      </c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</row>
    <row r="524" ht="22.5" customHeight="1">
      <c r="A524" s="19"/>
      <c r="B524" s="19" t="str">
        <f>'All Responses'!N:N</f>
        <v/>
      </c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</row>
    <row r="525" ht="22.5" customHeight="1">
      <c r="A525" s="19"/>
      <c r="B525" s="19" t="str">
        <f>'All Responses'!N:N</f>
        <v/>
      </c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</row>
    <row r="526" ht="22.5" customHeight="1">
      <c r="A526" s="19"/>
      <c r="B526" s="19" t="str">
        <f>'All Responses'!N:N</f>
        <v/>
      </c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</row>
    <row r="527" ht="22.5" customHeight="1">
      <c r="A527" s="19"/>
      <c r="B527" s="19" t="str">
        <f>'All Responses'!N:N</f>
        <v/>
      </c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</row>
    <row r="528" ht="22.5" customHeight="1">
      <c r="A528" s="19"/>
      <c r="B528" s="19" t="str">
        <f>'All Responses'!N:N</f>
        <v/>
      </c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</row>
    <row r="529" ht="22.5" customHeight="1">
      <c r="A529" s="19"/>
      <c r="B529" s="19" t="str">
        <f>'All Responses'!N:N</f>
        <v/>
      </c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</row>
    <row r="530" ht="22.5" customHeight="1">
      <c r="A530" s="19"/>
      <c r="B530" s="19" t="str">
        <f>'All Responses'!N:N</f>
        <v/>
      </c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</row>
    <row r="531" ht="22.5" customHeight="1">
      <c r="A531" s="19"/>
      <c r="B531" s="19" t="str">
        <f>'All Responses'!N:N</f>
        <v/>
      </c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</row>
    <row r="532" ht="22.5" customHeight="1">
      <c r="A532" s="19"/>
      <c r="B532" s="19" t="str">
        <f>'All Responses'!N:N</f>
        <v/>
      </c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</row>
    <row r="533" ht="22.5" customHeight="1">
      <c r="A533" s="19"/>
      <c r="B533" s="19" t="str">
        <f>'All Responses'!N:N</f>
        <v/>
      </c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</row>
    <row r="534" ht="22.5" customHeight="1">
      <c r="A534" s="19"/>
      <c r="B534" s="19" t="str">
        <f>'All Responses'!N:N</f>
        <v/>
      </c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</row>
    <row r="535" ht="22.5" customHeight="1">
      <c r="A535" s="19"/>
      <c r="B535" s="19" t="str">
        <f>'All Responses'!N:N</f>
        <v/>
      </c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</row>
    <row r="536" ht="22.5" customHeight="1">
      <c r="A536" s="19"/>
      <c r="B536" s="19" t="str">
        <f>'All Responses'!N:N</f>
        <v/>
      </c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</row>
    <row r="537" ht="22.5" customHeight="1">
      <c r="A537" s="19"/>
      <c r="B537" s="19" t="str">
        <f>'All Responses'!N:N</f>
        <v/>
      </c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</row>
    <row r="538" ht="22.5" customHeight="1">
      <c r="A538" s="19"/>
      <c r="B538" s="19" t="str">
        <f>'All Responses'!N:N</f>
        <v/>
      </c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</row>
    <row r="539" ht="22.5" customHeight="1">
      <c r="A539" s="19"/>
      <c r="B539" s="19" t="str">
        <f>'All Responses'!N:N</f>
        <v/>
      </c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</row>
    <row r="540" ht="22.5" customHeight="1">
      <c r="A540" s="19"/>
      <c r="B540" s="19" t="str">
        <f>'All Responses'!N:N</f>
        <v/>
      </c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</row>
    <row r="541" ht="22.5" customHeight="1">
      <c r="A541" s="19"/>
      <c r="B541" s="19" t="str">
        <f>'All Responses'!N:N</f>
        <v/>
      </c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</row>
    <row r="542" ht="22.5" customHeight="1">
      <c r="A542" s="19"/>
      <c r="B542" s="19" t="str">
        <f>'All Responses'!N:N</f>
        <v/>
      </c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</row>
    <row r="543" ht="22.5" customHeight="1">
      <c r="A543" s="19"/>
      <c r="B543" s="19" t="str">
        <f>'All Responses'!N:N</f>
        <v/>
      </c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</row>
    <row r="544" ht="22.5" customHeight="1">
      <c r="A544" s="19"/>
      <c r="B544" s="19" t="str">
        <f>'All Responses'!N:N</f>
        <v/>
      </c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</row>
    <row r="545" ht="22.5" customHeight="1">
      <c r="A545" s="19"/>
      <c r="B545" s="19" t="str">
        <f>'All Responses'!N:N</f>
        <v/>
      </c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</row>
    <row r="546" ht="22.5" customHeight="1">
      <c r="A546" s="19"/>
      <c r="B546" s="19" t="str">
        <f>'All Responses'!N:N</f>
        <v/>
      </c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</row>
    <row r="547" ht="22.5" customHeight="1">
      <c r="A547" s="19"/>
      <c r="B547" s="19" t="str">
        <f>'All Responses'!N:N</f>
        <v/>
      </c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</row>
    <row r="548" ht="22.5" customHeight="1">
      <c r="A548" s="19"/>
      <c r="B548" s="19" t="str">
        <f>'All Responses'!N:N</f>
        <v/>
      </c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</row>
    <row r="549" ht="22.5" customHeight="1">
      <c r="A549" s="19"/>
      <c r="B549" s="19" t="str">
        <f>'All Responses'!N:N</f>
        <v/>
      </c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</row>
    <row r="550" ht="22.5" customHeight="1">
      <c r="A550" s="19"/>
      <c r="B550" s="19" t="str">
        <f>'All Responses'!N:N</f>
        <v/>
      </c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</row>
    <row r="551" ht="22.5" customHeight="1">
      <c r="A551" s="19"/>
      <c r="B551" s="19" t="str">
        <f>'All Responses'!N:N</f>
        <v/>
      </c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</row>
    <row r="552" ht="22.5" customHeight="1">
      <c r="A552" s="19"/>
      <c r="B552" s="19" t="str">
        <f>'All Responses'!N:N</f>
        <v/>
      </c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</row>
    <row r="553" ht="22.5" customHeight="1">
      <c r="A553" s="19"/>
      <c r="B553" s="19" t="str">
        <f>'All Responses'!N:N</f>
        <v/>
      </c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</row>
    <row r="554" ht="22.5" customHeight="1">
      <c r="A554" s="19"/>
      <c r="B554" s="19" t="str">
        <f>'All Responses'!N:N</f>
        <v/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</row>
    <row r="555" ht="22.5" customHeight="1">
      <c r="A555" s="19"/>
      <c r="B555" s="19" t="str">
        <f>'All Responses'!N:N</f>
        <v/>
      </c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</row>
    <row r="556" ht="22.5" customHeight="1">
      <c r="A556" s="19"/>
      <c r="B556" s="19" t="str">
        <f>'All Responses'!N:N</f>
        <v/>
      </c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</row>
    <row r="557" ht="22.5" customHeight="1">
      <c r="A557" s="19"/>
      <c r="B557" s="19" t="str">
        <f>'All Responses'!N:N</f>
        <v/>
      </c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</row>
    <row r="558" ht="22.5" customHeight="1">
      <c r="A558" s="19"/>
      <c r="B558" s="19" t="str">
        <f>'All Responses'!N:N</f>
        <v/>
      </c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</row>
    <row r="559" ht="22.5" customHeight="1">
      <c r="A559" s="19"/>
      <c r="B559" s="19" t="str">
        <f>'All Responses'!N:N</f>
        <v/>
      </c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</row>
    <row r="560" ht="22.5" customHeight="1">
      <c r="A560" s="19"/>
      <c r="B560" s="19" t="str">
        <f>'All Responses'!N:N</f>
        <v/>
      </c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</row>
    <row r="561" ht="22.5" customHeight="1">
      <c r="A561" s="19"/>
      <c r="B561" s="19" t="str">
        <f>'All Responses'!N:N</f>
        <v/>
      </c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</row>
    <row r="562" ht="22.5" customHeight="1">
      <c r="A562" s="19"/>
      <c r="B562" s="19" t="str">
        <f>'All Responses'!N:N</f>
        <v/>
      </c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</row>
    <row r="563" ht="22.5" customHeight="1">
      <c r="A563" s="19"/>
      <c r="B563" s="19" t="str">
        <f>'All Responses'!N:N</f>
        <v/>
      </c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</row>
    <row r="564" ht="22.5" customHeight="1">
      <c r="A564" s="19"/>
      <c r="B564" s="19" t="str">
        <f>'All Responses'!N:N</f>
        <v/>
      </c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</row>
    <row r="565" ht="22.5" customHeight="1">
      <c r="A565" s="19"/>
      <c r="B565" s="19" t="str">
        <f>'All Responses'!N:N</f>
        <v/>
      </c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</row>
    <row r="566" ht="22.5" customHeight="1">
      <c r="A566" s="19"/>
      <c r="B566" s="19" t="str">
        <f>'All Responses'!N:N</f>
        <v/>
      </c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</row>
    <row r="567" ht="22.5" customHeight="1">
      <c r="A567" s="19"/>
      <c r="B567" s="19" t="str">
        <f>'All Responses'!N:N</f>
        <v/>
      </c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</row>
    <row r="568" ht="22.5" customHeight="1">
      <c r="A568" s="19"/>
      <c r="B568" s="19" t="str">
        <f>'All Responses'!N:N</f>
        <v/>
      </c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</row>
    <row r="569" ht="22.5" customHeight="1">
      <c r="A569" s="19"/>
      <c r="B569" s="19" t="str">
        <f>'All Responses'!N:N</f>
        <v/>
      </c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</row>
    <row r="570" ht="22.5" customHeight="1">
      <c r="A570" s="19"/>
      <c r="B570" s="19" t="str">
        <f>'All Responses'!N:N</f>
        <v/>
      </c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</row>
    <row r="571" ht="22.5" customHeight="1">
      <c r="A571" s="19"/>
      <c r="B571" s="19" t="str">
        <f>'All Responses'!N:N</f>
        <v/>
      </c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</row>
    <row r="572" ht="22.5" customHeight="1">
      <c r="A572" s="19"/>
      <c r="B572" s="19" t="str">
        <f>'All Responses'!N:N</f>
        <v/>
      </c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</row>
    <row r="573" ht="22.5" customHeight="1">
      <c r="A573" s="19"/>
      <c r="B573" s="19" t="str">
        <f>'All Responses'!N:N</f>
        <v/>
      </c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</row>
    <row r="574" ht="22.5" customHeight="1">
      <c r="A574" s="19"/>
      <c r="B574" s="19" t="str">
        <f>'All Responses'!N:N</f>
        <v/>
      </c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</row>
    <row r="575" ht="22.5" customHeight="1">
      <c r="A575" s="19"/>
      <c r="B575" s="19" t="str">
        <f>'All Responses'!N:N</f>
        <v/>
      </c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</row>
    <row r="576" ht="22.5" customHeight="1">
      <c r="A576" s="19"/>
      <c r="B576" s="19" t="str">
        <f>'All Responses'!N:N</f>
        <v/>
      </c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</row>
    <row r="577" ht="22.5" customHeight="1">
      <c r="A577" s="19"/>
      <c r="B577" s="19" t="str">
        <f>'All Responses'!N:N</f>
        <v/>
      </c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</row>
    <row r="578" ht="22.5" customHeight="1">
      <c r="A578" s="19"/>
      <c r="B578" s="19" t="str">
        <f>'All Responses'!N:N</f>
        <v/>
      </c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</row>
    <row r="579" ht="22.5" customHeight="1">
      <c r="A579" s="19"/>
      <c r="B579" s="19" t="str">
        <f>'All Responses'!N:N</f>
        <v/>
      </c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</row>
    <row r="580" ht="22.5" customHeight="1">
      <c r="A580" s="19"/>
      <c r="B580" s="19" t="str">
        <f>'All Responses'!N:N</f>
        <v/>
      </c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</row>
    <row r="581" ht="22.5" customHeight="1">
      <c r="A581" s="19"/>
      <c r="B581" s="19" t="str">
        <f>'All Responses'!N:N</f>
        <v/>
      </c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</row>
    <row r="582" ht="22.5" customHeight="1">
      <c r="A582" s="19"/>
      <c r="B582" s="19" t="str">
        <f>'All Responses'!N:N</f>
        <v/>
      </c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</row>
    <row r="583" ht="22.5" customHeight="1">
      <c r="A583" s="19"/>
      <c r="B583" s="19" t="str">
        <f>'All Responses'!N:N</f>
        <v/>
      </c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</row>
    <row r="584" ht="22.5" customHeight="1">
      <c r="A584" s="19"/>
      <c r="B584" s="19" t="str">
        <f>'All Responses'!N:N</f>
        <v/>
      </c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</row>
    <row r="585" ht="22.5" customHeight="1">
      <c r="A585" s="19"/>
      <c r="B585" s="19" t="str">
        <f>'All Responses'!N:N</f>
        <v/>
      </c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</row>
    <row r="586" ht="22.5" customHeight="1">
      <c r="A586" s="19"/>
      <c r="B586" s="19" t="str">
        <f>'All Responses'!N:N</f>
        <v/>
      </c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</row>
    <row r="587" ht="22.5" customHeight="1">
      <c r="A587" s="19"/>
      <c r="B587" s="19" t="str">
        <f>'All Responses'!N:N</f>
        <v/>
      </c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</row>
    <row r="588" ht="22.5" customHeight="1">
      <c r="A588" s="19"/>
      <c r="B588" s="19" t="str">
        <f>'All Responses'!N:N</f>
        <v/>
      </c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</row>
    <row r="589" ht="22.5" customHeight="1">
      <c r="A589" s="19"/>
      <c r="B589" s="19" t="str">
        <f>'All Responses'!N:N</f>
        <v/>
      </c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</row>
    <row r="590" ht="22.5" customHeight="1">
      <c r="A590" s="19"/>
      <c r="B590" s="19" t="str">
        <f>'All Responses'!N:N</f>
        <v/>
      </c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</row>
    <row r="591" ht="22.5" customHeight="1">
      <c r="A591" s="19"/>
      <c r="B591" s="19" t="str">
        <f>'All Responses'!N:N</f>
        <v/>
      </c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</row>
    <row r="592" ht="22.5" customHeight="1">
      <c r="A592" s="19"/>
      <c r="B592" s="19" t="str">
        <f>'All Responses'!N:N</f>
        <v/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</row>
    <row r="593" ht="22.5" customHeight="1">
      <c r="A593" s="19"/>
      <c r="B593" s="19" t="str">
        <f>'All Responses'!N:N</f>
        <v/>
      </c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</row>
    <row r="594" ht="22.5" customHeight="1">
      <c r="A594" s="19"/>
      <c r="B594" s="19" t="str">
        <f>'All Responses'!N:N</f>
        <v/>
      </c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</row>
    <row r="595" ht="22.5" customHeight="1">
      <c r="A595" s="19"/>
      <c r="B595" s="19" t="str">
        <f>'All Responses'!N:N</f>
        <v/>
      </c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</row>
    <row r="596" ht="22.5" customHeight="1">
      <c r="A596" s="19"/>
      <c r="B596" s="19" t="str">
        <f>'All Responses'!N:N</f>
        <v/>
      </c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</row>
    <row r="597" ht="22.5" customHeight="1">
      <c r="A597" s="19"/>
      <c r="B597" s="19" t="str">
        <f>'All Responses'!N:N</f>
        <v/>
      </c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</row>
    <row r="598" ht="22.5" customHeight="1">
      <c r="A598" s="19"/>
      <c r="B598" s="19" t="str">
        <f>'All Responses'!N:N</f>
        <v/>
      </c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</row>
    <row r="599" ht="22.5" customHeight="1">
      <c r="A599" s="19"/>
      <c r="B599" s="19" t="str">
        <f>'All Responses'!N:N</f>
        <v/>
      </c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</row>
    <row r="600" ht="22.5" customHeight="1">
      <c r="A600" s="19"/>
      <c r="B600" s="19" t="str">
        <f>'All Responses'!N:N</f>
        <v/>
      </c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</row>
    <row r="601" ht="22.5" customHeight="1">
      <c r="A601" s="19"/>
      <c r="B601" s="19" t="str">
        <f>'All Responses'!N:N</f>
        <v/>
      </c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</row>
    <row r="602" ht="22.5" customHeight="1">
      <c r="A602" s="19"/>
      <c r="B602" s="19" t="str">
        <f>'All Responses'!N:N</f>
        <v/>
      </c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</row>
    <row r="603" ht="22.5" customHeight="1">
      <c r="A603" s="19"/>
      <c r="B603" s="19" t="str">
        <f>'All Responses'!N:N</f>
        <v/>
      </c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</row>
    <row r="604" ht="22.5" customHeight="1">
      <c r="A604" s="19"/>
      <c r="B604" s="19" t="str">
        <f>'All Responses'!N:N</f>
        <v/>
      </c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</row>
    <row r="605" ht="22.5" customHeight="1">
      <c r="A605" s="19"/>
      <c r="B605" s="19" t="str">
        <f>'All Responses'!N:N</f>
        <v/>
      </c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</row>
    <row r="606" ht="22.5" customHeight="1">
      <c r="A606" s="19"/>
      <c r="B606" s="19" t="str">
        <f>'All Responses'!N:N</f>
        <v/>
      </c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</row>
    <row r="607" ht="22.5" customHeight="1">
      <c r="A607" s="19"/>
      <c r="B607" s="19" t="str">
        <f>'All Responses'!N:N</f>
        <v/>
      </c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</row>
    <row r="608" ht="22.5" customHeight="1">
      <c r="A608" s="19"/>
      <c r="B608" s="19" t="str">
        <f>'All Responses'!N:N</f>
        <v/>
      </c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</row>
    <row r="609" ht="22.5" customHeight="1">
      <c r="A609" s="19"/>
      <c r="B609" s="19" t="str">
        <f>'All Responses'!N:N</f>
        <v/>
      </c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</row>
    <row r="610" ht="22.5" customHeight="1">
      <c r="A610" s="19"/>
      <c r="B610" s="19" t="str">
        <f>'All Responses'!N:N</f>
        <v/>
      </c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</row>
    <row r="611" ht="22.5" customHeight="1">
      <c r="A611" s="19"/>
      <c r="B611" s="19" t="str">
        <f>'All Responses'!N:N</f>
        <v/>
      </c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</row>
    <row r="612" ht="22.5" customHeight="1">
      <c r="A612" s="19"/>
      <c r="B612" s="19" t="str">
        <f>'All Responses'!N:N</f>
        <v/>
      </c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</row>
    <row r="613" ht="22.5" customHeight="1">
      <c r="A613" s="19"/>
      <c r="B613" s="19" t="str">
        <f>'All Responses'!N:N</f>
        <v/>
      </c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</row>
    <row r="614" ht="22.5" customHeight="1">
      <c r="A614" s="19"/>
      <c r="B614" s="19" t="str">
        <f>'All Responses'!N:N</f>
        <v/>
      </c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</row>
    <row r="615" ht="22.5" customHeight="1">
      <c r="A615" s="19"/>
      <c r="B615" s="19" t="str">
        <f>'All Responses'!N:N</f>
        <v/>
      </c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</row>
    <row r="616" ht="22.5" customHeight="1">
      <c r="A616" s="19"/>
      <c r="B616" s="19" t="str">
        <f>'All Responses'!N:N</f>
        <v/>
      </c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</row>
    <row r="617" ht="22.5" customHeight="1">
      <c r="A617" s="19"/>
      <c r="B617" s="19" t="str">
        <f>'All Responses'!N:N</f>
        <v/>
      </c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</row>
    <row r="618" ht="22.5" customHeight="1">
      <c r="A618" s="19"/>
      <c r="B618" s="19" t="str">
        <f>'All Responses'!N:N</f>
        <v/>
      </c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</row>
    <row r="619" ht="22.5" customHeight="1">
      <c r="A619" s="19"/>
      <c r="B619" s="19" t="str">
        <f>'All Responses'!N:N</f>
        <v/>
      </c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</row>
    <row r="620" ht="22.5" customHeight="1">
      <c r="A620" s="19"/>
      <c r="B620" s="19" t="str">
        <f>'All Responses'!N:N</f>
        <v/>
      </c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</row>
    <row r="621" ht="22.5" customHeight="1">
      <c r="A621" s="19"/>
      <c r="B621" s="19" t="str">
        <f>'All Responses'!N:N</f>
        <v/>
      </c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</row>
    <row r="622" ht="22.5" customHeight="1">
      <c r="A622" s="19"/>
      <c r="B622" s="19" t="str">
        <f>'All Responses'!N:N</f>
        <v/>
      </c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</row>
    <row r="623" ht="22.5" customHeight="1">
      <c r="A623" s="19"/>
      <c r="B623" s="19" t="str">
        <f>'All Responses'!N:N</f>
        <v/>
      </c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</row>
    <row r="624" ht="22.5" customHeight="1">
      <c r="A624" s="19"/>
      <c r="B624" s="19" t="str">
        <f>'All Responses'!N:N</f>
        <v/>
      </c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</row>
    <row r="625" ht="22.5" customHeight="1">
      <c r="A625" s="19"/>
      <c r="B625" s="19" t="str">
        <f>'All Responses'!N:N</f>
        <v/>
      </c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</row>
    <row r="626" ht="22.5" customHeight="1">
      <c r="A626" s="19"/>
      <c r="B626" s="19" t="str">
        <f>'All Responses'!N:N</f>
        <v/>
      </c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</row>
    <row r="627" ht="22.5" customHeight="1">
      <c r="A627" s="19"/>
      <c r="B627" s="19" t="str">
        <f>'All Responses'!N:N</f>
        <v/>
      </c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</row>
    <row r="628" ht="22.5" customHeight="1">
      <c r="A628" s="19"/>
      <c r="B628" s="19" t="str">
        <f>'All Responses'!N:N</f>
        <v/>
      </c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</row>
    <row r="629" ht="22.5" customHeight="1">
      <c r="A629" s="19"/>
      <c r="B629" s="19" t="str">
        <f>'All Responses'!N:N</f>
        <v/>
      </c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</row>
    <row r="630" ht="22.5" customHeight="1">
      <c r="A630" s="19"/>
      <c r="B630" s="19" t="str">
        <f>'All Responses'!N:N</f>
        <v/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</row>
    <row r="631" ht="22.5" customHeight="1">
      <c r="A631" s="19"/>
      <c r="B631" s="19" t="str">
        <f>'All Responses'!N:N</f>
        <v/>
      </c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</row>
    <row r="632" ht="22.5" customHeight="1">
      <c r="A632" s="19"/>
      <c r="B632" s="19" t="str">
        <f>'All Responses'!N:N</f>
        <v/>
      </c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</row>
    <row r="633" ht="22.5" customHeight="1">
      <c r="A633" s="19"/>
      <c r="B633" s="19" t="str">
        <f>'All Responses'!N:N</f>
        <v/>
      </c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</row>
    <row r="634" ht="22.5" customHeight="1">
      <c r="A634" s="19"/>
      <c r="B634" s="19" t="str">
        <f>'All Responses'!N:N</f>
        <v/>
      </c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</row>
    <row r="635" ht="22.5" customHeight="1">
      <c r="A635" s="19"/>
      <c r="B635" s="19" t="str">
        <f>'All Responses'!N:N</f>
        <v/>
      </c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</row>
    <row r="636" ht="22.5" customHeight="1">
      <c r="A636" s="19"/>
      <c r="B636" s="19" t="str">
        <f>'All Responses'!N:N</f>
        <v/>
      </c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</row>
    <row r="637" ht="22.5" customHeight="1">
      <c r="A637" s="19"/>
      <c r="B637" s="19" t="str">
        <f>'All Responses'!N:N</f>
        <v/>
      </c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</row>
    <row r="638" ht="22.5" customHeight="1">
      <c r="A638" s="19"/>
      <c r="B638" s="19" t="str">
        <f>'All Responses'!N:N</f>
        <v/>
      </c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</row>
    <row r="639" ht="22.5" customHeight="1">
      <c r="A639" s="19"/>
      <c r="B639" s="19" t="str">
        <f>'All Responses'!N:N</f>
        <v/>
      </c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</row>
    <row r="640" ht="22.5" customHeight="1">
      <c r="A640" s="19"/>
      <c r="B640" s="19" t="str">
        <f>'All Responses'!N:N</f>
        <v/>
      </c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</row>
    <row r="641" ht="22.5" customHeight="1">
      <c r="A641" s="19"/>
      <c r="B641" s="19" t="str">
        <f>'All Responses'!N:N</f>
        <v/>
      </c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</row>
    <row r="642" ht="22.5" customHeight="1">
      <c r="A642" s="19"/>
      <c r="B642" s="19" t="str">
        <f>'All Responses'!N:N</f>
        <v/>
      </c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</row>
    <row r="643" ht="22.5" customHeight="1">
      <c r="A643" s="19"/>
      <c r="B643" s="19" t="str">
        <f>'All Responses'!N:N</f>
        <v/>
      </c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</row>
    <row r="644" ht="22.5" customHeight="1">
      <c r="A644" s="19"/>
      <c r="B644" s="19" t="str">
        <f>'All Responses'!N:N</f>
        <v/>
      </c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</row>
    <row r="645" ht="22.5" customHeight="1">
      <c r="A645" s="19"/>
      <c r="B645" s="19" t="str">
        <f>'All Responses'!N:N</f>
        <v/>
      </c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</row>
    <row r="646" ht="22.5" customHeight="1">
      <c r="A646" s="19"/>
      <c r="B646" s="19" t="str">
        <f>'All Responses'!N:N</f>
        <v/>
      </c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</row>
    <row r="647" ht="22.5" customHeight="1">
      <c r="A647" s="19"/>
      <c r="B647" s="19" t="str">
        <f>'All Responses'!N:N</f>
        <v/>
      </c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</row>
    <row r="648" ht="22.5" customHeight="1">
      <c r="A648" s="19"/>
      <c r="B648" s="19" t="str">
        <f>'All Responses'!N:N</f>
        <v/>
      </c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</row>
    <row r="649" ht="22.5" customHeight="1">
      <c r="A649" s="19"/>
      <c r="B649" s="19" t="str">
        <f>'All Responses'!N:N</f>
        <v/>
      </c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</row>
    <row r="650" ht="22.5" customHeight="1">
      <c r="A650" s="19"/>
      <c r="B650" s="19" t="str">
        <f>'All Responses'!N:N</f>
        <v/>
      </c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</row>
    <row r="651" ht="22.5" customHeight="1">
      <c r="A651" s="19"/>
      <c r="B651" s="19" t="str">
        <f>'All Responses'!N:N</f>
        <v/>
      </c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</row>
    <row r="652" ht="22.5" customHeight="1">
      <c r="A652" s="19"/>
      <c r="B652" s="19" t="str">
        <f>'All Responses'!N:N</f>
        <v/>
      </c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</row>
    <row r="653" ht="22.5" customHeight="1">
      <c r="A653" s="19"/>
      <c r="B653" s="19" t="str">
        <f>'All Responses'!N:N</f>
        <v/>
      </c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</row>
    <row r="654" ht="22.5" customHeight="1">
      <c r="A654" s="19"/>
      <c r="B654" s="19" t="str">
        <f>'All Responses'!N:N</f>
        <v/>
      </c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</row>
    <row r="655" ht="22.5" customHeight="1">
      <c r="A655" s="19"/>
      <c r="B655" s="19" t="str">
        <f>'All Responses'!N:N</f>
        <v/>
      </c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</row>
    <row r="656" ht="22.5" customHeight="1">
      <c r="A656" s="19"/>
      <c r="B656" s="19" t="str">
        <f>'All Responses'!N:N</f>
        <v/>
      </c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</row>
    <row r="657" ht="22.5" customHeight="1">
      <c r="A657" s="19"/>
      <c r="B657" s="19" t="str">
        <f>'All Responses'!N:N</f>
        <v/>
      </c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</row>
    <row r="658" ht="22.5" customHeight="1">
      <c r="A658" s="19"/>
      <c r="B658" s="19" t="str">
        <f>'All Responses'!N:N</f>
        <v/>
      </c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</row>
    <row r="659" ht="22.5" customHeight="1">
      <c r="A659" s="19"/>
      <c r="B659" s="19" t="str">
        <f>'All Responses'!N:N</f>
        <v/>
      </c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</row>
    <row r="660" ht="22.5" customHeight="1">
      <c r="A660" s="19"/>
      <c r="B660" s="19" t="str">
        <f>'All Responses'!N:N</f>
        <v/>
      </c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</row>
    <row r="661" ht="22.5" customHeight="1">
      <c r="A661" s="19"/>
      <c r="B661" s="19" t="str">
        <f>'All Responses'!N:N</f>
        <v/>
      </c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</row>
    <row r="662" ht="22.5" customHeight="1">
      <c r="A662" s="19"/>
      <c r="B662" s="19" t="str">
        <f>'All Responses'!N:N</f>
        <v/>
      </c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</row>
    <row r="663" ht="22.5" customHeight="1">
      <c r="A663" s="19"/>
      <c r="B663" s="19" t="str">
        <f>'All Responses'!N:N</f>
        <v/>
      </c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</row>
    <row r="664" ht="22.5" customHeight="1">
      <c r="A664" s="19"/>
      <c r="B664" s="19" t="str">
        <f>'All Responses'!N:N</f>
        <v/>
      </c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</row>
    <row r="665" ht="22.5" customHeight="1">
      <c r="A665" s="19"/>
      <c r="B665" s="19" t="str">
        <f>'All Responses'!N:N</f>
        <v/>
      </c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</row>
    <row r="666" ht="22.5" customHeight="1">
      <c r="A666" s="19"/>
      <c r="B666" s="19" t="str">
        <f>'All Responses'!N:N</f>
        <v/>
      </c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</row>
    <row r="667" ht="22.5" customHeight="1">
      <c r="A667" s="19"/>
      <c r="B667" s="19" t="str">
        <f>'All Responses'!N:N</f>
        <v/>
      </c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</row>
    <row r="668" ht="22.5" customHeight="1">
      <c r="A668" s="19"/>
      <c r="B668" s="19" t="str">
        <f>'All Responses'!N:N</f>
        <v/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</row>
    <row r="669" ht="22.5" customHeight="1">
      <c r="A669" s="19"/>
      <c r="B669" s="19" t="str">
        <f>'All Responses'!N:N</f>
        <v/>
      </c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</row>
    <row r="670" ht="22.5" customHeight="1">
      <c r="A670" s="19"/>
      <c r="B670" s="19" t="str">
        <f>'All Responses'!N:N</f>
        <v/>
      </c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</row>
    <row r="671" ht="22.5" customHeight="1">
      <c r="A671" s="19"/>
      <c r="B671" s="19" t="str">
        <f>'All Responses'!N:N</f>
        <v/>
      </c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</row>
    <row r="672" ht="22.5" customHeight="1">
      <c r="A672" s="19"/>
      <c r="B672" s="19" t="str">
        <f>'All Responses'!N:N</f>
        <v/>
      </c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</row>
    <row r="673" ht="22.5" customHeight="1">
      <c r="A673" s="19"/>
      <c r="B673" s="19" t="str">
        <f>'All Responses'!N:N</f>
        <v/>
      </c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</row>
    <row r="674" ht="22.5" customHeight="1">
      <c r="A674" s="19"/>
      <c r="B674" s="19" t="str">
        <f>'All Responses'!N:N</f>
        <v/>
      </c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</row>
    <row r="675" ht="22.5" customHeight="1">
      <c r="A675" s="19"/>
      <c r="B675" s="19" t="str">
        <f>'All Responses'!N:N</f>
        <v/>
      </c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</row>
    <row r="676" ht="22.5" customHeight="1">
      <c r="A676" s="19"/>
      <c r="B676" s="19" t="str">
        <f>'All Responses'!N:N</f>
        <v/>
      </c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</row>
    <row r="677" ht="22.5" customHeight="1">
      <c r="A677" s="19"/>
      <c r="B677" s="19" t="str">
        <f>'All Responses'!N:N</f>
        <v/>
      </c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</row>
    <row r="678" ht="22.5" customHeight="1">
      <c r="A678" s="19"/>
      <c r="B678" s="19" t="str">
        <f>'All Responses'!N:N</f>
        <v/>
      </c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</row>
    <row r="679" ht="22.5" customHeight="1">
      <c r="A679" s="19"/>
      <c r="B679" s="19" t="str">
        <f>'All Responses'!N:N</f>
        <v/>
      </c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</row>
    <row r="680" ht="22.5" customHeight="1">
      <c r="A680" s="19"/>
      <c r="B680" s="19" t="str">
        <f>'All Responses'!N:N</f>
        <v/>
      </c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</row>
    <row r="681" ht="22.5" customHeight="1">
      <c r="A681" s="19"/>
      <c r="B681" s="19" t="str">
        <f>'All Responses'!N:N</f>
        <v/>
      </c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</row>
    <row r="682" ht="22.5" customHeight="1">
      <c r="A682" s="19"/>
      <c r="B682" s="19" t="str">
        <f>'All Responses'!N:N</f>
        <v/>
      </c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</row>
    <row r="683" ht="22.5" customHeight="1">
      <c r="A683" s="19"/>
      <c r="B683" s="19" t="str">
        <f>'All Responses'!N:N</f>
        <v/>
      </c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</row>
    <row r="684" ht="22.5" customHeight="1">
      <c r="A684" s="19"/>
      <c r="B684" s="19" t="str">
        <f>'All Responses'!N:N</f>
        <v/>
      </c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</row>
    <row r="685" ht="22.5" customHeight="1">
      <c r="A685" s="19"/>
      <c r="B685" s="19" t="str">
        <f>'All Responses'!N:N</f>
        <v/>
      </c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</row>
    <row r="686" ht="22.5" customHeight="1">
      <c r="A686" s="19"/>
      <c r="B686" s="19" t="str">
        <f>'All Responses'!N:N</f>
        <v/>
      </c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</row>
    <row r="687" ht="22.5" customHeight="1">
      <c r="A687" s="19"/>
      <c r="B687" s="19" t="str">
        <f>'All Responses'!N:N</f>
        <v/>
      </c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</row>
    <row r="688" ht="22.5" customHeight="1">
      <c r="A688" s="19"/>
      <c r="B688" s="19" t="str">
        <f>'All Responses'!N:N</f>
        <v/>
      </c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</row>
    <row r="689" ht="22.5" customHeight="1">
      <c r="A689" s="19"/>
      <c r="B689" s="19" t="str">
        <f>'All Responses'!N:N</f>
        <v/>
      </c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</row>
    <row r="690" ht="22.5" customHeight="1">
      <c r="A690" s="19"/>
      <c r="B690" s="19" t="str">
        <f>'All Responses'!N:N</f>
        <v/>
      </c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</row>
    <row r="691" ht="22.5" customHeight="1">
      <c r="A691" s="19"/>
      <c r="B691" s="19" t="str">
        <f>'All Responses'!N:N</f>
        <v/>
      </c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</row>
    <row r="692" ht="22.5" customHeight="1">
      <c r="A692" s="19"/>
      <c r="B692" s="19" t="str">
        <f>'All Responses'!N:N</f>
        <v/>
      </c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</row>
    <row r="693" ht="22.5" customHeight="1">
      <c r="A693" s="19"/>
      <c r="B693" s="19" t="str">
        <f>'All Responses'!N:N</f>
        <v/>
      </c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</row>
    <row r="694" ht="22.5" customHeight="1">
      <c r="A694" s="19"/>
      <c r="B694" s="19" t="str">
        <f>'All Responses'!N:N</f>
        <v/>
      </c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</row>
    <row r="695" ht="22.5" customHeight="1">
      <c r="A695" s="19"/>
      <c r="B695" s="19" t="str">
        <f>'All Responses'!N:N</f>
        <v/>
      </c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</row>
    <row r="696" ht="22.5" customHeight="1">
      <c r="A696" s="19"/>
      <c r="B696" s="19" t="str">
        <f>'All Responses'!N:N</f>
        <v/>
      </c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</row>
    <row r="697" ht="22.5" customHeight="1">
      <c r="A697" s="19"/>
      <c r="B697" s="19" t="str">
        <f>'All Responses'!N:N</f>
        <v/>
      </c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</row>
    <row r="698" ht="22.5" customHeight="1">
      <c r="A698" s="19"/>
      <c r="B698" s="19" t="str">
        <f>'All Responses'!N:N</f>
        <v/>
      </c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</row>
    <row r="699" ht="22.5" customHeight="1">
      <c r="A699" s="19"/>
      <c r="B699" s="19" t="str">
        <f>'All Responses'!N:N</f>
        <v/>
      </c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</row>
    <row r="700" ht="22.5" customHeight="1">
      <c r="A700" s="19"/>
      <c r="B700" s="19" t="str">
        <f>'All Responses'!N:N</f>
        <v/>
      </c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</row>
    <row r="701" ht="22.5" customHeight="1">
      <c r="A701" s="19"/>
      <c r="B701" s="19" t="str">
        <f>'All Responses'!N:N</f>
        <v/>
      </c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</row>
    <row r="702" ht="22.5" customHeight="1">
      <c r="A702" s="19"/>
      <c r="B702" s="19" t="str">
        <f>'All Responses'!N:N</f>
        <v/>
      </c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</row>
    <row r="703" ht="22.5" customHeight="1">
      <c r="A703" s="19"/>
      <c r="B703" s="19" t="str">
        <f>'All Responses'!N:N</f>
        <v/>
      </c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</row>
    <row r="704" ht="22.5" customHeight="1">
      <c r="A704" s="19"/>
      <c r="B704" s="19" t="str">
        <f>'All Responses'!N:N</f>
        <v/>
      </c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</row>
    <row r="705" ht="22.5" customHeight="1">
      <c r="A705" s="19"/>
      <c r="B705" s="19" t="str">
        <f>'All Responses'!N:N</f>
        <v/>
      </c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</row>
    <row r="706" ht="22.5" customHeight="1">
      <c r="A706" s="19"/>
      <c r="B706" s="19" t="str">
        <f>'All Responses'!N:N</f>
        <v/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</row>
    <row r="707" ht="22.5" customHeight="1">
      <c r="A707" s="19"/>
      <c r="B707" s="19" t="str">
        <f>'All Responses'!N:N</f>
        <v/>
      </c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</row>
    <row r="708" ht="22.5" customHeight="1">
      <c r="A708" s="19"/>
      <c r="B708" s="19" t="str">
        <f>'All Responses'!N:N</f>
        <v/>
      </c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</row>
    <row r="709" ht="22.5" customHeight="1">
      <c r="A709" s="19"/>
      <c r="B709" s="19" t="str">
        <f>'All Responses'!N:N</f>
        <v/>
      </c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</row>
    <row r="710" ht="22.5" customHeight="1">
      <c r="A710" s="19"/>
      <c r="B710" s="19" t="str">
        <f>'All Responses'!N:N</f>
        <v/>
      </c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</row>
    <row r="711" ht="22.5" customHeight="1">
      <c r="A711" s="19"/>
      <c r="B711" s="19" t="str">
        <f>'All Responses'!N:N</f>
        <v/>
      </c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</row>
    <row r="712" ht="22.5" customHeight="1">
      <c r="A712" s="19"/>
      <c r="B712" s="19" t="str">
        <f>'All Responses'!N:N</f>
        <v/>
      </c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</row>
    <row r="713" ht="22.5" customHeight="1">
      <c r="A713" s="19"/>
      <c r="B713" s="19" t="str">
        <f>'All Responses'!N:N</f>
        <v/>
      </c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</row>
    <row r="714" ht="22.5" customHeight="1">
      <c r="A714" s="19"/>
      <c r="B714" s="19" t="str">
        <f>'All Responses'!N:N</f>
        <v/>
      </c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</row>
    <row r="715" ht="22.5" customHeight="1">
      <c r="A715" s="19"/>
      <c r="B715" s="19" t="str">
        <f>'All Responses'!N:N</f>
        <v/>
      </c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</row>
    <row r="716" ht="22.5" customHeight="1">
      <c r="A716" s="19"/>
      <c r="B716" s="19" t="str">
        <f>'All Responses'!N:N</f>
        <v/>
      </c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</row>
    <row r="717" ht="22.5" customHeight="1">
      <c r="A717" s="19"/>
      <c r="B717" s="19" t="str">
        <f>'All Responses'!N:N</f>
        <v/>
      </c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</row>
    <row r="718" ht="22.5" customHeight="1">
      <c r="A718" s="19"/>
      <c r="B718" s="19" t="str">
        <f>'All Responses'!N:N</f>
        <v/>
      </c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</row>
    <row r="719" ht="22.5" customHeight="1">
      <c r="A719" s="19"/>
      <c r="B719" s="19" t="str">
        <f>'All Responses'!N:N</f>
        <v/>
      </c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</row>
    <row r="720" ht="22.5" customHeight="1">
      <c r="A720" s="19"/>
      <c r="B720" s="19" t="str">
        <f>'All Responses'!N:N</f>
        <v/>
      </c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</row>
    <row r="721" ht="22.5" customHeight="1">
      <c r="A721" s="19"/>
      <c r="B721" s="19" t="str">
        <f>'All Responses'!N:N</f>
        <v/>
      </c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</row>
    <row r="722" ht="22.5" customHeight="1">
      <c r="A722" s="19"/>
      <c r="B722" s="19" t="str">
        <f>'All Responses'!N:N</f>
        <v/>
      </c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</row>
    <row r="723" ht="22.5" customHeight="1">
      <c r="A723" s="19"/>
      <c r="B723" s="19" t="str">
        <f>'All Responses'!N:N</f>
        <v/>
      </c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</row>
    <row r="724" ht="22.5" customHeight="1">
      <c r="A724" s="19"/>
      <c r="B724" s="19" t="str">
        <f>'All Responses'!N:N</f>
        <v/>
      </c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</row>
    <row r="725" ht="22.5" customHeight="1">
      <c r="A725" s="19"/>
      <c r="B725" s="19" t="str">
        <f>'All Responses'!N:N</f>
        <v/>
      </c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</row>
    <row r="726" ht="22.5" customHeight="1">
      <c r="A726" s="19"/>
      <c r="B726" s="19" t="str">
        <f>'All Responses'!N:N</f>
        <v/>
      </c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</row>
    <row r="727" ht="22.5" customHeight="1">
      <c r="A727" s="19"/>
      <c r="B727" s="19" t="str">
        <f>'All Responses'!N:N</f>
        <v/>
      </c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</row>
    <row r="728" ht="22.5" customHeight="1">
      <c r="A728" s="19"/>
      <c r="B728" s="19" t="str">
        <f>'All Responses'!N:N</f>
        <v/>
      </c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</row>
    <row r="729" ht="22.5" customHeight="1">
      <c r="A729" s="19"/>
      <c r="B729" s="19" t="str">
        <f>'All Responses'!N:N</f>
        <v/>
      </c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</row>
    <row r="730" ht="22.5" customHeight="1">
      <c r="A730" s="19"/>
      <c r="B730" s="19" t="str">
        <f>'All Responses'!N:N</f>
        <v/>
      </c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</row>
    <row r="731" ht="22.5" customHeight="1">
      <c r="A731" s="19"/>
      <c r="B731" s="19" t="str">
        <f>'All Responses'!N:N</f>
        <v/>
      </c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</row>
    <row r="732" ht="22.5" customHeight="1">
      <c r="A732" s="19"/>
      <c r="B732" s="19" t="str">
        <f>'All Responses'!N:N</f>
        <v/>
      </c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</row>
    <row r="733" ht="22.5" customHeight="1">
      <c r="A733" s="19"/>
      <c r="B733" s="19" t="str">
        <f>'All Responses'!N:N</f>
        <v/>
      </c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</row>
    <row r="734" ht="22.5" customHeight="1">
      <c r="A734" s="19"/>
      <c r="B734" s="19" t="str">
        <f>'All Responses'!N:N</f>
        <v/>
      </c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</row>
    <row r="735" ht="22.5" customHeight="1">
      <c r="A735" s="19"/>
      <c r="B735" s="19" t="str">
        <f>'All Responses'!N:N</f>
        <v/>
      </c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</row>
    <row r="736" ht="22.5" customHeight="1">
      <c r="A736" s="19"/>
      <c r="B736" s="19" t="str">
        <f>'All Responses'!N:N</f>
        <v/>
      </c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</row>
    <row r="737" ht="22.5" customHeight="1">
      <c r="A737" s="19"/>
      <c r="B737" s="19" t="str">
        <f>'All Responses'!N:N</f>
        <v/>
      </c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</row>
    <row r="738" ht="22.5" customHeight="1">
      <c r="A738" s="19"/>
      <c r="B738" s="19" t="str">
        <f>'All Responses'!N:N</f>
        <v/>
      </c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</row>
    <row r="739" ht="22.5" customHeight="1">
      <c r="A739" s="19"/>
      <c r="B739" s="19" t="str">
        <f>'All Responses'!N:N</f>
        <v/>
      </c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</row>
    <row r="740" ht="22.5" customHeight="1">
      <c r="A740" s="19"/>
      <c r="B740" s="19" t="str">
        <f>'All Responses'!N:N</f>
        <v/>
      </c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</row>
    <row r="741" ht="22.5" customHeight="1">
      <c r="A741" s="19"/>
      <c r="B741" s="19" t="str">
        <f>'All Responses'!N:N</f>
        <v/>
      </c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</row>
    <row r="742" ht="22.5" customHeight="1">
      <c r="A742" s="19"/>
      <c r="B742" s="19" t="str">
        <f>'All Responses'!N:N</f>
        <v/>
      </c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</row>
    <row r="743" ht="22.5" customHeight="1">
      <c r="A743" s="19"/>
      <c r="B743" s="19" t="str">
        <f>'All Responses'!N:N</f>
        <v/>
      </c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</row>
    <row r="744" ht="22.5" customHeight="1">
      <c r="A744" s="19"/>
      <c r="B744" s="19" t="str">
        <f>'All Responses'!N:N</f>
        <v/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</row>
    <row r="745" ht="22.5" customHeight="1">
      <c r="A745" s="19"/>
      <c r="B745" s="19" t="str">
        <f>'All Responses'!N:N</f>
        <v/>
      </c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</row>
    <row r="746" ht="22.5" customHeight="1">
      <c r="A746" s="19"/>
      <c r="B746" s="19" t="str">
        <f>'All Responses'!N:N</f>
        <v/>
      </c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</row>
    <row r="747" ht="22.5" customHeight="1">
      <c r="A747" s="19"/>
      <c r="B747" s="19" t="str">
        <f>'All Responses'!N:N</f>
        <v/>
      </c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</row>
    <row r="748" ht="22.5" customHeight="1">
      <c r="A748" s="19"/>
      <c r="B748" s="19" t="str">
        <f>'All Responses'!N:N</f>
        <v/>
      </c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</row>
    <row r="749" ht="22.5" customHeight="1">
      <c r="A749" s="19"/>
      <c r="B749" s="19" t="str">
        <f>'All Responses'!N:N</f>
        <v/>
      </c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</row>
    <row r="750" ht="22.5" customHeight="1">
      <c r="A750" s="19"/>
      <c r="B750" s="19" t="str">
        <f>'All Responses'!N:N</f>
        <v/>
      </c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</row>
    <row r="751" ht="22.5" customHeight="1">
      <c r="A751" s="19"/>
      <c r="B751" s="19" t="str">
        <f>'All Responses'!N:N</f>
        <v/>
      </c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</row>
    <row r="752" ht="22.5" customHeight="1">
      <c r="A752" s="19"/>
      <c r="B752" s="19" t="str">
        <f>'All Responses'!N:N</f>
        <v/>
      </c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</row>
    <row r="753" ht="22.5" customHeight="1">
      <c r="A753" s="19"/>
      <c r="B753" s="19" t="str">
        <f>'All Responses'!N:N</f>
        <v/>
      </c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</row>
    <row r="754" ht="22.5" customHeight="1">
      <c r="A754" s="19"/>
      <c r="B754" s="19" t="str">
        <f>'All Responses'!N:N</f>
        <v/>
      </c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</row>
    <row r="755" ht="22.5" customHeight="1">
      <c r="A755" s="19"/>
      <c r="B755" s="19" t="str">
        <f>'All Responses'!N:N</f>
        <v/>
      </c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</row>
    <row r="756" ht="22.5" customHeight="1">
      <c r="A756" s="19"/>
      <c r="B756" s="19" t="str">
        <f>'All Responses'!N:N</f>
        <v/>
      </c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</row>
    <row r="757" ht="22.5" customHeight="1">
      <c r="A757" s="19"/>
      <c r="B757" s="19" t="str">
        <f>'All Responses'!N:N</f>
        <v/>
      </c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</row>
    <row r="758" ht="22.5" customHeight="1">
      <c r="A758" s="19"/>
      <c r="B758" s="19" t="str">
        <f>'All Responses'!N:N</f>
        <v/>
      </c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</row>
    <row r="759" ht="22.5" customHeight="1">
      <c r="A759" s="19"/>
      <c r="B759" s="19" t="str">
        <f>'All Responses'!N:N</f>
        <v/>
      </c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</row>
    <row r="760" ht="22.5" customHeight="1">
      <c r="A760" s="19"/>
      <c r="B760" s="19" t="str">
        <f>'All Responses'!N:N</f>
        <v/>
      </c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</row>
    <row r="761" ht="22.5" customHeight="1">
      <c r="A761" s="19"/>
      <c r="B761" s="19" t="str">
        <f>'All Responses'!N:N</f>
        <v/>
      </c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</row>
    <row r="762" ht="22.5" customHeight="1">
      <c r="A762" s="19"/>
      <c r="B762" s="19" t="str">
        <f>'All Responses'!N:N</f>
        <v/>
      </c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</row>
    <row r="763" ht="22.5" customHeight="1">
      <c r="A763" s="19"/>
      <c r="B763" s="19" t="str">
        <f>'All Responses'!N:N</f>
        <v/>
      </c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</row>
    <row r="764" ht="22.5" customHeight="1">
      <c r="A764" s="19"/>
      <c r="B764" s="19" t="str">
        <f>'All Responses'!N:N</f>
        <v/>
      </c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</row>
    <row r="765" ht="22.5" customHeight="1">
      <c r="A765" s="19"/>
      <c r="B765" s="19" t="str">
        <f>'All Responses'!N:N</f>
        <v/>
      </c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</row>
    <row r="766" ht="22.5" customHeight="1">
      <c r="A766" s="19"/>
      <c r="B766" s="19" t="str">
        <f>'All Responses'!N:N</f>
        <v/>
      </c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</row>
    <row r="767" ht="22.5" customHeight="1">
      <c r="A767" s="19"/>
      <c r="B767" s="19" t="str">
        <f>'All Responses'!N:N</f>
        <v/>
      </c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</row>
    <row r="768" ht="22.5" customHeight="1">
      <c r="A768" s="19"/>
      <c r="B768" s="19" t="str">
        <f>'All Responses'!N:N</f>
        <v/>
      </c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</row>
    <row r="769" ht="22.5" customHeight="1">
      <c r="A769" s="19"/>
      <c r="B769" s="19" t="str">
        <f>'All Responses'!N:N</f>
        <v/>
      </c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</row>
    <row r="770" ht="22.5" customHeight="1">
      <c r="A770" s="19"/>
      <c r="B770" s="19" t="str">
        <f>'All Responses'!N:N</f>
        <v/>
      </c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</row>
    <row r="771" ht="22.5" customHeight="1">
      <c r="A771" s="19"/>
      <c r="B771" s="19" t="str">
        <f>'All Responses'!N:N</f>
        <v/>
      </c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</row>
    <row r="772" ht="22.5" customHeight="1">
      <c r="A772" s="19"/>
      <c r="B772" s="19" t="str">
        <f>'All Responses'!N:N</f>
        <v/>
      </c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</row>
    <row r="773" ht="22.5" customHeight="1">
      <c r="A773" s="19"/>
      <c r="B773" s="19" t="str">
        <f>'All Responses'!N:N</f>
        <v/>
      </c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</row>
    <row r="774" ht="22.5" customHeight="1">
      <c r="A774" s="19"/>
      <c r="B774" s="19" t="str">
        <f>'All Responses'!N:N</f>
        <v/>
      </c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</row>
    <row r="775" ht="22.5" customHeight="1">
      <c r="A775" s="19"/>
      <c r="B775" s="19" t="str">
        <f>'All Responses'!N:N</f>
        <v/>
      </c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</row>
    <row r="776" ht="22.5" customHeight="1">
      <c r="A776" s="19"/>
      <c r="B776" s="19" t="str">
        <f>'All Responses'!N:N</f>
        <v/>
      </c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</row>
    <row r="777" ht="22.5" customHeight="1">
      <c r="A777" s="19"/>
      <c r="B777" s="19" t="str">
        <f>'All Responses'!N:N</f>
        <v/>
      </c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</row>
    <row r="778" ht="22.5" customHeight="1">
      <c r="A778" s="19"/>
      <c r="B778" s="19" t="str">
        <f>'All Responses'!N:N</f>
        <v/>
      </c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</row>
    <row r="779" ht="22.5" customHeight="1">
      <c r="A779" s="19"/>
      <c r="B779" s="19" t="str">
        <f>'All Responses'!N:N</f>
        <v/>
      </c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</row>
    <row r="780" ht="22.5" customHeight="1">
      <c r="A780" s="19"/>
      <c r="B780" s="19" t="str">
        <f>'All Responses'!N:N</f>
        <v/>
      </c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</row>
    <row r="781" ht="22.5" customHeight="1">
      <c r="A781" s="19"/>
      <c r="B781" s="19" t="str">
        <f>'All Responses'!N:N</f>
        <v/>
      </c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</row>
    <row r="782" ht="22.5" customHeight="1">
      <c r="A782" s="19"/>
      <c r="B782" s="19" t="str">
        <f>'All Responses'!N:N</f>
        <v/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</row>
    <row r="783" ht="22.5" customHeight="1">
      <c r="A783" s="19"/>
      <c r="B783" s="19" t="str">
        <f>'All Responses'!N:N</f>
        <v/>
      </c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</row>
    <row r="784" ht="22.5" customHeight="1">
      <c r="A784" s="19"/>
      <c r="B784" s="19" t="str">
        <f>'All Responses'!N:N</f>
        <v/>
      </c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</row>
    <row r="785" ht="22.5" customHeight="1">
      <c r="A785" s="19"/>
      <c r="B785" s="19" t="str">
        <f>'All Responses'!N:N</f>
        <v/>
      </c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</row>
    <row r="786" ht="22.5" customHeight="1">
      <c r="A786" s="19"/>
      <c r="B786" s="19" t="str">
        <f>'All Responses'!N:N</f>
        <v/>
      </c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</row>
    <row r="787" ht="22.5" customHeight="1">
      <c r="A787" s="19"/>
      <c r="B787" s="19" t="str">
        <f>'All Responses'!N:N</f>
        <v/>
      </c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</row>
    <row r="788" ht="22.5" customHeight="1">
      <c r="A788" s="19"/>
      <c r="B788" s="19" t="str">
        <f>'All Responses'!N:N</f>
        <v/>
      </c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</row>
    <row r="789" ht="22.5" customHeight="1">
      <c r="A789" s="19"/>
      <c r="B789" s="19" t="str">
        <f>'All Responses'!N:N</f>
        <v/>
      </c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</row>
    <row r="790" ht="22.5" customHeight="1">
      <c r="A790" s="19"/>
      <c r="B790" s="19" t="str">
        <f>'All Responses'!N:N</f>
        <v/>
      </c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</row>
    <row r="791" ht="22.5" customHeight="1">
      <c r="A791" s="19"/>
      <c r="B791" s="19" t="str">
        <f>'All Responses'!N:N</f>
        <v/>
      </c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</row>
    <row r="792" ht="22.5" customHeight="1">
      <c r="A792" s="19"/>
      <c r="B792" s="19" t="str">
        <f>'All Responses'!N:N</f>
        <v/>
      </c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</row>
    <row r="793" ht="22.5" customHeight="1">
      <c r="A793" s="19"/>
      <c r="B793" s="19" t="str">
        <f>'All Responses'!N:N</f>
        <v/>
      </c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</row>
    <row r="794" ht="22.5" customHeight="1">
      <c r="A794" s="19"/>
      <c r="B794" s="19" t="str">
        <f>'All Responses'!N:N</f>
        <v/>
      </c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</row>
    <row r="795" ht="22.5" customHeight="1">
      <c r="A795" s="19"/>
      <c r="B795" s="19" t="str">
        <f>'All Responses'!N:N</f>
        <v/>
      </c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</row>
    <row r="796" ht="22.5" customHeight="1">
      <c r="A796" s="19"/>
      <c r="B796" s="19" t="str">
        <f>'All Responses'!N:N</f>
        <v/>
      </c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</row>
    <row r="797" ht="22.5" customHeight="1">
      <c r="A797" s="19"/>
      <c r="B797" s="19" t="str">
        <f>'All Responses'!N:N</f>
        <v/>
      </c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</row>
    <row r="798" ht="22.5" customHeight="1">
      <c r="A798" s="19"/>
      <c r="B798" s="19" t="str">
        <f>'All Responses'!N:N</f>
        <v/>
      </c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</row>
    <row r="799" ht="22.5" customHeight="1">
      <c r="A799" s="19"/>
      <c r="B799" s="19" t="str">
        <f>'All Responses'!N:N</f>
        <v/>
      </c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</row>
    <row r="800" ht="22.5" customHeight="1">
      <c r="A800" s="19"/>
      <c r="B800" s="19" t="str">
        <f>'All Responses'!N:N</f>
        <v/>
      </c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</row>
    <row r="801" ht="22.5" customHeight="1">
      <c r="A801" s="19"/>
      <c r="B801" s="19" t="str">
        <f>'All Responses'!N:N</f>
        <v/>
      </c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</row>
    <row r="802" ht="22.5" customHeight="1">
      <c r="A802" s="19"/>
      <c r="B802" s="19" t="str">
        <f>'All Responses'!N:N</f>
        <v/>
      </c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</row>
    <row r="803" ht="22.5" customHeight="1">
      <c r="A803" s="19"/>
      <c r="B803" s="19" t="str">
        <f>'All Responses'!N:N</f>
        <v/>
      </c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</row>
    <row r="804" ht="22.5" customHeight="1">
      <c r="A804" s="19"/>
      <c r="B804" s="19" t="str">
        <f>'All Responses'!N:N</f>
        <v/>
      </c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</row>
    <row r="805" ht="22.5" customHeight="1">
      <c r="A805" s="19"/>
      <c r="B805" s="19" t="str">
        <f>'All Responses'!N:N</f>
        <v/>
      </c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</row>
    <row r="806" ht="22.5" customHeight="1">
      <c r="A806" s="19"/>
      <c r="B806" s="19" t="str">
        <f>'All Responses'!N:N</f>
        <v/>
      </c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</row>
    <row r="807" ht="22.5" customHeight="1">
      <c r="A807" s="19"/>
      <c r="B807" s="19" t="str">
        <f>'All Responses'!N:N</f>
        <v/>
      </c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</row>
    <row r="808" ht="22.5" customHeight="1">
      <c r="A808" s="19"/>
      <c r="B808" s="19" t="str">
        <f>'All Responses'!N:N</f>
        <v/>
      </c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</row>
    <row r="809" ht="22.5" customHeight="1">
      <c r="A809" s="19"/>
      <c r="B809" s="19" t="str">
        <f>'All Responses'!N:N</f>
        <v/>
      </c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</row>
    <row r="810" ht="22.5" customHeight="1">
      <c r="A810" s="19"/>
      <c r="B810" s="19" t="str">
        <f>'All Responses'!N:N</f>
        <v/>
      </c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</row>
    <row r="811" ht="22.5" customHeight="1">
      <c r="A811" s="19"/>
      <c r="B811" s="19" t="str">
        <f>'All Responses'!N:N</f>
        <v/>
      </c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</row>
    <row r="812" ht="22.5" customHeight="1">
      <c r="A812" s="19"/>
      <c r="B812" s="19" t="str">
        <f>'All Responses'!N:N</f>
        <v/>
      </c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</row>
    <row r="813" ht="22.5" customHeight="1">
      <c r="A813" s="19"/>
      <c r="B813" s="19" t="str">
        <f>'All Responses'!N:N</f>
        <v/>
      </c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</row>
    <row r="814" ht="22.5" customHeight="1">
      <c r="A814" s="19"/>
      <c r="B814" s="19" t="str">
        <f>'All Responses'!N:N</f>
        <v/>
      </c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</row>
    <row r="815" ht="22.5" customHeight="1">
      <c r="A815" s="19"/>
      <c r="B815" s="19" t="str">
        <f>'All Responses'!N:N</f>
        <v/>
      </c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</row>
    <row r="816" ht="22.5" customHeight="1">
      <c r="A816" s="19"/>
      <c r="B816" s="19" t="str">
        <f>'All Responses'!N:N</f>
        <v/>
      </c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</row>
    <row r="817" ht="22.5" customHeight="1">
      <c r="A817" s="19"/>
      <c r="B817" s="19" t="str">
        <f>'All Responses'!N:N</f>
        <v/>
      </c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</row>
    <row r="818" ht="22.5" customHeight="1">
      <c r="A818" s="19"/>
      <c r="B818" s="19" t="str">
        <f>'All Responses'!N:N</f>
        <v/>
      </c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</row>
    <row r="819" ht="22.5" customHeight="1">
      <c r="A819" s="19"/>
      <c r="B819" s="19" t="str">
        <f>'All Responses'!N:N</f>
        <v/>
      </c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</row>
    <row r="820" ht="22.5" customHeight="1">
      <c r="A820" s="19"/>
      <c r="B820" s="19" t="str">
        <f>'All Responses'!N:N</f>
        <v/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</row>
    <row r="821" ht="22.5" customHeight="1">
      <c r="A821" s="19"/>
      <c r="B821" s="19" t="str">
        <f>'All Responses'!N:N</f>
        <v/>
      </c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</row>
    <row r="822" ht="22.5" customHeight="1">
      <c r="A822" s="19"/>
      <c r="B822" s="19" t="str">
        <f>'All Responses'!N:N</f>
        <v/>
      </c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</row>
    <row r="823" ht="22.5" customHeight="1">
      <c r="A823" s="19"/>
      <c r="B823" s="19" t="str">
        <f>'All Responses'!N:N</f>
        <v/>
      </c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</row>
    <row r="824" ht="22.5" customHeight="1">
      <c r="A824" s="19"/>
      <c r="B824" s="19" t="str">
        <f>'All Responses'!N:N</f>
        <v/>
      </c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</row>
    <row r="825" ht="22.5" customHeight="1">
      <c r="A825" s="19"/>
      <c r="B825" s="19" t="str">
        <f>'All Responses'!N:N</f>
        <v/>
      </c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</row>
    <row r="826" ht="22.5" customHeight="1">
      <c r="A826" s="19"/>
      <c r="B826" s="19" t="str">
        <f>'All Responses'!N:N</f>
        <v/>
      </c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</row>
    <row r="827" ht="22.5" customHeight="1">
      <c r="A827" s="19"/>
      <c r="B827" s="19" t="str">
        <f>'All Responses'!N:N</f>
        <v/>
      </c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</row>
    <row r="828" ht="22.5" customHeight="1">
      <c r="A828" s="19"/>
      <c r="B828" s="19" t="str">
        <f>'All Responses'!N:N</f>
        <v/>
      </c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</row>
    <row r="829" ht="22.5" customHeight="1">
      <c r="A829" s="19"/>
      <c r="B829" s="19" t="str">
        <f>'All Responses'!N:N</f>
        <v/>
      </c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</row>
    <row r="830" ht="22.5" customHeight="1">
      <c r="A830" s="19"/>
      <c r="B830" s="19" t="str">
        <f>'All Responses'!N:N</f>
        <v/>
      </c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</row>
    <row r="831" ht="22.5" customHeight="1">
      <c r="A831" s="19"/>
      <c r="B831" s="19" t="str">
        <f>'All Responses'!N:N</f>
        <v/>
      </c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</row>
    <row r="832" ht="22.5" customHeight="1">
      <c r="A832" s="19"/>
      <c r="B832" s="19" t="str">
        <f>'All Responses'!N:N</f>
        <v/>
      </c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</row>
    <row r="833" ht="22.5" customHeight="1">
      <c r="A833" s="19"/>
      <c r="B833" s="19" t="str">
        <f>'All Responses'!N:N</f>
        <v/>
      </c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</row>
    <row r="834" ht="22.5" customHeight="1">
      <c r="A834" s="19"/>
      <c r="B834" s="19" t="str">
        <f>'All Responses'!N:N</f>
        <v/>
      </c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</row>
    <row r="835" ht="22.5" customHeight="1">
      <c r="A835" s="19"/>
      <c r="B835" s="19" t="str">
        <f>'All Responses'!N:N</f>
        <v/>
      </c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</row>
    <row r="836" ht="22.5" customHeight="1">
      <c r="A836" s="19"/>
      <c r="B836" s="19" t="str">
        <f>'All Responses'!N:N</f>
        <v/>
      </c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</row>
    <row r="837" ht="22.5" customHeight="1">
      <c r="A837" s="19"/>
      <c r="B837" s="19" t="str">
        <f>'All Responses'!N:N</f>
        <v/>
      </c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</row>
    <row r="838" ht="22.5" customHeight="1">
      <c r="A838" s="19"/>
      <c r="B838" s="19" t="str">
        <f>'All Responses'!N:N</f>
        <v/>
      </c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</row>
    <row r="839" ht="22.5" customHeight="1">
      <c r="A839" s="19"/>
      <c r="B839" s="19" t="str">
        <f>'All Responses'!N:N</f>
        <v/>
      </c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</row>
    <row r="840" ht="22.5" customHeight="1">
      <c r="A840" s="19"/>
      <c r="B840" s="19" t="str">
        <f>'All Responses'!N:N</f>
        <v/>
      </c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</row>
    <row r="841" ht="22.5" customHeight="1">
      <c r="A841" s="19"/>
      <c r="B841" s="19" t="str">
        <f>'All Responses'!N:N</f>
        <v/>
      </c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</row>
    <row r="842" ht="22.5" customHeight="1">
      <c r="A842" s="19"/>
      <c r="B842" s="19" t="str">
        <f>'All Responses'!N:N</f>
        <v/>
      </c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</row>
    <row r="843" ht="22.5" customHeight="1">
      <c r="A843" s="19"/>
      <c r="B843" s="19" t="str">
        <f>'All Responses'!N:N</f>
        <v/>
      </c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</row>
    <row r="844" ht="22.5" customHeight="1">
      <c r="A844" s="19"/>
      <c r="B844" s="19" t="str">
        <f>'All Responses'!N:N</f>
        <v/>
      </c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</row>
    <row r="845" ht="22.5" customHeight="1">
      <c r="A845" s="19"/>
      <c r="B845" s="19" t="str">
        <f>'All Responses'!N:N</f>
        <v/>
      </c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</row>
    <row r="846" ht="22.5" customHeight="1">
      <c r="A846" s="19"/>
      <c r="B846" s="19" t="str">
        <f>'All Responses'!N:N</f>
        <v/>
      </c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</row>
    <row r="847" ht="22.5" customHeight="1">
      <c r="A847" s="19"/>
      <c r="B847" s="19" t="str">
        <f>'All Responses'!N:N</f>
        <v/>
      </c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</row>
    <row r="848" ht="22.5" customHeight="1">
      <c r="A848" s="19"/>
      <c r="B848" s="19" t="str">
        <f>'All Responses'!N:N</f>
        <v/>
      </c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</row>
    <row r="849" ht="22.5" customHeight="1">
      <c r="A849" s="19"/>
      <c r="B849" s="19" t="str">
        <f>'All Responses'!N:N</f>
        <v/>
      </c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</row>
    <row r="850" ht="22.5" customHeight="1">
      <c r="A850" s="19"/>
      <c r="B850" s="19" t="str">
        <f>'All Responses'!N:N</f>
        <v/>
      </c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</row>
    <row r="851" ht="22.5" customHeight="1">
      <c r="A851" s="19"/>
      <c r="B851" s="19" t="str">
        <f>'All Responses'!N:N</f>
        <v/>
      </c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</row>
    <row r="852" ht="22.5" customHeight="1">
      <c r="A852" s="19"/>
      <c r="B852" s="19" t="str">
        <f>'All Responses'!N:N</f>
        <v/>
      </c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</row>
    <row r="853" ht="22.5" customHeight="1">
      <c r="A853" s="19"/>
      <c r="B853" s="19" t="str">
        <f>'All Responses'!N:N</f>
        <v/>
      </c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</row>
    <row r="854" ht="22.5" customHeight="1">
      <c r="A854" s="19"/>
      <c r="B854" s="19" t="str">
        <f>'All Responses'!N:N</f>
        <v/>
      </c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</row>
    <row r="855" ht="22.5" customHeight="1">
      <c r="A855" s="19"/>
      <c r="B855" s="19" t="str">
        <f>'All Responses'!N:N</f>
        <v/>
      </c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</row>
    <row r="856" ht="22.5" customHeight="1">
      <c r="A856" s="19"/>
      <c r="B856" s="19" t="str">
        <f>'All Responses'!N:N</f>
        <v/>
      </c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</row>
    <row r="857" ht="22.5" customHeight="1">
      <c r="A857" s="19"/>
      <c r="B857" s="19" t="str">
        <f>'All Responses'!N:N</f>
        <v/>
      </c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</row>
    <row r="858" ht="22.5" customHeight="1">
      <c r="A858" s="19"/>
      <c r="B858" s="19" t="str">
        <f>'All Responses'!N:N</f>
        <v/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</row>
    <row r="859" ht="22.5" customHeight="1">
      <c r="A859" s="19"/>
      <c r="B859" s="19" t="str">
        <f>'All Responses'!N:N</f>
        <v/>
      </c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</row>
    <row r="860" ht="22.5" customHeight="1">
      <c r="A860" s="19"/>
      <c r="B860" s="19" t="str">
        <f>'All Responses'!N:N</f>
        <v/>
      </c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</row>
    <row r="861" ht="22.5" customHeight="1">
      <c r="A861" s="19"/>
      <c r="B861" s="19" t="str">
        <f>'All Responses'!N:N</f>
        <v/>
      </c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</row>
    <row r="862" ht="22.5" customHeight="1">
      <c r="A862" s="19"/>
      <c r="B862" s="19" t="str">
        <f>'All Responses'!N:N</f>
        <v/>
      </c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</row>
    <row r="863" ht="22.5" customHeight="1">
      <c r="A863" s="19"/>
      <c r="B863" s="19" t="str">
        <f>'All Responses'!N:N</f>
        <v/>
      </c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</row>
    <row r="864" ht="22.5" customHeight="1">
      <c r="A864" s="19"/>
      <c r="B864" s="19" t="str">
        <f>'All Responses'!N:N</f>
        <v/>
      </c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</row>
    <row r="865" ht="22.5" customHeight="1">
      <c r="A865" s="19"/>
      <c r="B865" s="19" t="str">
        <f>'All Responses'!N:N</f>
        <v/>
      </c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</row>
    <row r="866" ht="22.5" customHeight="1">
      <c r="A866" s="19"/>
      <c r="B866" s="19" t="str">
        <f>'All Responses'!N:N</f>
        <v/>
      </c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</row>
    <row r="867" ht="22.5" customHeight="1">
      <c r="A867" s="19"/>
      <c r="B867" s="19" t="str">
        <f>'All Responses'!N:N</f>
        <v/>
      </c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</row>
    <row r="868" ht="22.5" customHeight="1">
      <c r="A868" s="19"/>
      <c r="B868" s="19" t="str">
        <f>'All Responses'!N:N</f>
        <v/>
      </c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</row>
    <row r="869" ht="22.5" customHeight="1">
      <c r="A869" s="19"/>
      <c r="B869" s="19" t="str">
        <f>'All Responses'!N:N</f>
        <v/>
      </c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</row>
    <row r="870" ht="22.5" customHeight="1">
      <c r="A870" s="19"/>
      <c r="B870" s="19" t="str">
        <f>'All Responses'!N:N</f>
        <v/>
      </c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</row>
    <row r="871" ht="22.5" customHeight="1">
      <c r="A871" s="19"/>
      <c r="B871" s="19" t="str">
        <f>'All Responses'!N:N</f>
        <v/>
      </c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</row>
    <row r="872" ht="22.5" customHeight="1">
      <c r="A872" s="19"/>
      <c r="B872" s="19" t="str">
        <f>'All Responses'!N:N</f>
        <v/>
      </c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</row>
    <row r="873" ht="22.5" customHeight="1">
      <c r="A873" s="19"/>
      <c r="B873" s="19" t="str">
        <f>'All Responses'!N:N</f>
        <v/>
      </c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</row>
    <row r="874" ht="22.5" customHeight="1">
      <c r="A874" s="19"/>
      <c r="B874" s="19" t="str">
        <f>'All Responses'!N:N</f>
        <v/>
      </c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</row>
    <row r="875" ht="22.5" customHeight="1">
      <c r="A875" s="19"/>
      <c r="B875" s="19" t="str">
        <f>'All Responses'!N:N</f>
        <v/>
      </c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</row>
    <row r="876" ht="22.5" customHeight="1">
      <c r="A876" s="19"/>
      <c r="B876" s="19" t="str">
        <f>'All Responses'!N:N</f>
        <v/>
      </c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</row>
    <row r="877" ht="22.5" customHeight="1">
      <c r="A877" s="19"/>
      <c r="B877" s="19" t="str">
        <f>'All Responses'!N:N</f>
        <v/>
      </c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</row>
    <row r="878" ht="22.5" customHeight="1">
      <c r="A878" s="19"/>
      <c r="B878" s="19" t="str">
        <f>'All Responses'!N:N</f>
        <v/>
      </c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</row>
    <row r="879" ht="22.5" customHeight="1">
      <c r="A879" s="19"/>
      <c r="B879" s="19" t="str">
        <f>'All Responses'!N:N</f>
        <v/>
      </c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</row>
    <row r="880" ht="22.5" customHeight="1">
      <c r="A880" s="19"/>
      <c r="B880" s="19" t="str">
        <f>'All Responses'!N:N</f>
        <v/>
      </c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</row>
    <row r="881" ht="22.5" customHeight="1">
      <c r="A881" s="19"/>
      <c r="B881" s="19" t="str">
        <f>'All Responses'!N:N</f>
        <v/>
      </c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</row>
    <row r="882" ht="22.5" customHeight="1">
      <c r="A882" s="19"/>
      <c r="B882" s="19" t="str">
        <f>'All Responses'!N:N</f>
        <v/>
      </c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</row>
    <row r="883" ht="22.5" customHeight="1">
      <c r="A883" s="19"/>
      <c r="B883" s="19" t="str">
        <f>'All Responses'!N:N</f>
        <v/>
      </c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</row>
    <row r="884" ht="22.5" customHeight="1">
      <c r="A884" s="19"/>
      <c r="B884" s="19" t="str">
        <f>'All Responses'!N:N</f>
        <v/>
      </c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</row>
    <row r="885" ht="22.5" customHeight="1">
      <c r="A885" s="19"/>
      <c r="B885" s="19" t="str">
        <f>'All Responses'!N:N</f>
        <v/>
      </c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</row>
    <row r="886" ht="22.5" customHeight="1">
      <c r="A886" s="19"/>
      <c r="B886" s="19" t="str">
        <f>'All Responses'!N:N</f>
        <v/>
      </c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</row>
    <row r="887" ht="22.5" customHeight="1">
      <c r="A887" s="19"/>
      <c r="B887" s="19" t="str">
        <f>'All Responses'!N:N</f>
        <v/>
      </c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</row>
    <row r="888" ht="22.5" customHeight="1">
      <c r="A888" s="19"/>
      <c r="B888" s="19" t="str">
        <f>'All Responses'!N:N</f>
        <v/>
      </c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</row>
    <row r="889" ht="22.5" customHeight="1">
      <c r="A889" s="19"/>
      <c r="B889" s="19" t="str">
        <f>'All Responses'!N:N</f>
        <v/>
      </c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</row>
    <row r="890" ht="22.5" customHeight="1">
      <c r="A890" s="19"/>
      <c r="B890" s="19" t="str">
        <f>'All Responses'!N:N</f>
        <v/>
      </c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</row>
    <row r="891" ht="22.5" customHeight="1">
      <c r="A891" s="19"/>
      <c r="B891" s="19" t="str">
        <f>'All Responses'!N:N</f>
        <v/>
      </c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</row>
    <row r="892" ht="22.5" customHeight="1">
      <c r="A892" s="19"/>
      <c r="B892" s="19" t="str">
        <f>'All Responses'!N:N</f>
        <v/>
      </c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</row>
    <row r="893" ht="22.5" customHeight="1">
      <c r="A893" s="19"/>
      <c r="B893" s="19" t="str">
        <f>'All Responses'!N:N</f>
        <v/>
      </c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</row>
    <row r="894" ht="22.5" customHeight="1">
      <c r="A894" s="19"/>
      <c r="B894" s="19" t="str">
        <f>'All Responses'!N:N</f>
        <v/>
      </c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</row>
    <row r="895" ht="22.5" customHeight="1">
      <c r="A895" s="19"/>
      <c r="B895" s="19" t="str">
        <f>'All Responses'!N:N</f>
        <v/>
      </c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</row>
    <row r="896" ht="22.5" customHeight="1">
      <c r="A896" s="19"/>
      <c r="B896" s="19" t="str">
        <f>'All Responses'!N:N</f>
        <v/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</row>
    <row r="897" ht="22.5" customHeight="1">
      <c r="A897" s="19"/>
      <c r="B897" s="19" t="str">
        <f>'All Responses'!N:N</f>
        <v/>
      </c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</row>
    <row r="898" ht="22.5" customHeight="1">
      <c r="A898" s="19"/>
      <c r="B898" s="19" t="str">
        <f>'All Responses'!N:N</f>
        <v/>
      </c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</row>
    <row r="899" ht="22.5" customHeight="1">
      <c r="A899" s="19"/>
      <c r="B899" s="19" t="str">
        <f>'All Responses'!N:N</f>
        <v/>
      </c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</row>
    <row r="900" ht="22.5" customHeight="1">
      <c r="A900" s="19"/>
      <c r="B900" s="19" t="str">
        <f>'All Responses'!N:N</f>
        <v/>
      </c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</row>
    <row r="901" ht="22.5" customHeight="1">
      <c r="A901" s="19"/>
      <c r="B901" s="19" t="str">
        <f>'All Responses'!N:N</f>
        <v/>
      </c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</row>
    <row r="902" ht="22.5" customHeight="1">
      <c r="A902" s="19"/>
      <c r="B902" s="19" t="str">
        <f>'All Responses'!N:N</f>
        <v/>
      </c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</row>
    <row r="903" ht="22.5" customHeight="1">
      <c r="A903" s="19"/>
      <c r="B903" s="19" t="str">
        <f>'All Responses'!N:N</f>
        <v/>
      </c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</row>
    <row r="904" ht="22.5" customHeight="1">
      <c r="A904" s="19"/>
      <c r="B904" s="19" t="str">
        <f>'All Responses'!N:N</f>
        <v/>
      </c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</row>
    <row r="905" ht="22.5" customHeight="1">
      <c r="A905" s="19"/>
      <c r="B905" s="19" t="str">
        <f>'All Responses'!N:N</f>
        <v/>
      </c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</row>
    <row r="906" ht="22.5" customHeight="1">
      <c r="A906" s="19"/>
      <c r="B906" s="19" t="str">
        <f>'All Responses'!N:N</f>
        <v/>
      </c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</row>
    <row r="907" ht="22.5" customHeight="1">
      <c r="A907" s="19"/>
      <c r="B907" s="19" t="str">
        <f>'All Responses'!N:N</f>
        <v/>
      </c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</row>
    <row r="908" ht="22.5" customHeight="1">
      <c r="A908" s="19"/>
      <c r="B908" s="19" t="str">
        <f>'All Responses'!N:N</f>
        <v/>
      </c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</row>
    <row r="909" ht="22.5" customHeight="1">
      <c r="A909" s="19"/>
      <c r="B909" s="19" t="str">
        <f>'All Responses'!N:N</f>
        <v/>
      </c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</row>
    <row r="910" ht="22.5" customHeight="1">
      <c r="A910" s="19"/>
      <c r="B910" s="19" t="str">
        <f>'All Responses'!N:N</f>
        <v/>
      </c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</row>
    <row r="911" ht="22.5" customHeight="1">
      <c r="A911" s="19"/>
      <c r="B911" s="19" t="str">
        <f>'All Responses'!N:N</f>
        <v/>
      </c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</row>
    <row r="912" ht="22.5" customHeight="1">
      <c r="A912" s="19"/>
      <c r="B912" s="19" t="str">
        <f>'All Responses'!N:N</f>
        <v/>
      </c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</row>
    <row r="913" ht="22.5" customHeight="1">
      <c r="A913" s="19"/>
      <c r="B913" s="19" t="str">
        <f>'All Responses'!N:N</f>
        <v/>
      </c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</row>
    <row r="914" ht="22.5" customHeight="1">
      <c r="A914" s="19"/>
      <c r="B914" s="19" t="str">
        <f>'All Responses'!N:N</f>
        <v/>
      </c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</row>
    <row r="915" ht="22.5" customHeight="1">
      <c r="A915" s="19"/>
      <c r="B915" s="19" t="str">
        <f>'All Responses'!N:N</f>
        <v/>
      </c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</row>
    <row r="916" ht="22.5" customHeight="1">
      <c r="A916" s="19"/>
      <c r="B916" s="19" t="str">
        <f>'All Responses'!N:N</f>
        <v/>
      </c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</row>
    <row r="917" ht="22.5" customHeight="1">
      <c r="A917" s="19"/>
      <c r="B917" s="19" t="str">
        <f>'All Responses'!N:N</f>
        <v/>
      </c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</row>
    <row r="918" ht="22.5" customHeight="1">
      <c r="A918" s="19"/>
      <c r="B918" s="19" t="str">
        <f>'All Responses'!N:N</f>
        <v/>
      </c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</row>
    <row r="919" ht="22.5" customHeight="1">
      <c r="A919" s="19"/>
      <c r="B919" s="19" t="str">
        <f>'All Responses'!N:N</f>
        <v/>
      </c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</row>
    <row r="920" ht="22.5" customHeight="1">
      <c r="A920" s="19"/>
      <c r="B920" s="19" t="str">
        <f>'All Responses'!N:N</f>
        <v/>
      </c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</row>
    <row r="921" ht="22.5" customHeight="1">
      <c r="A921" s="19"/>
      <c r="B921" s="19" t="str">
        <f>'All Responses'!N:N</f>
        <v/>
      </c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</row>
    <row r="922" ht="22.5" customHeight="1">
      <c r="A922" s="19"/>
      <c r="B922" s="19" t="str">
        <f>'All Responses'!N:N</f>
        <v/>
      </c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</row>
    <row r="923" ht="22.5" customHeight="1">
      <c r="A923" s="19"/>
      <c r="B923" s="19" t="str">
        <f>'All Responses'!N:N</f>
        <v/>
      </c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</row>
    <row r="924" ht="22.5" customHeight="1">
      <c r="A924" s="19"/>
      <c r="B924" s="19" t="str">
        <f>'All Responses'!N:N</f>
        <v/>
      </c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</row>
    <row r="925" ht="22.5" customHeight="1">
      <c r="A925" s="19"/>
      <c r="B925" s="19" t="str">
        <f>'All Responses'!N:N</f>
        <v/>
      </c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</row>
    <row r="926" ht="22.5" customHeight="1">
      <c r="A926" s="19"/>
      <c r="B926" s="19" t="str">
        <f>'All Responses'!N:N</f>
        <v/>
      </c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</row>
    <row r="927" ht="22.5" customHeight="1">
      <c r="A927" s="19"/>
      <c r="B927" s="19" t="str">
        <f>'All Responses'!N:N</f>
        <v/>
      </c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</row>
    <row r="928" ht="22.5" customHeight="1">
      <c r="A928" s="19"/>
      <c r="B928" s="19" t="str">
        <f>'All Responses'!N:N</f>
        <v/>
      </c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</row>
    <row r="929" ht="22.5" customHeight="1">
      <c r="A929" s="19"/>
      <c r="B929" s="19" t="str">
        <f>'All Responses'!N:N</f>
        <v/>
      </c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</row>
    <row r="930" ht="22.5" customHeight="1">
      <c r="A930" s="19"/>
      <c r="B930" s="19" t="str">
        <f>'All Responses'!N:N</f>
        <v/>
      </c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</row>
    <row r="931" ht="22.5" customHeight="1">
      <c r="A931" s="19"/>
      <c r="B931" s="19" t="str">
        <f>'All Responses'!N:N</f>
        <v/>
      </c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</row>
    <row r="932" ht="22.5" customHeight="1">
      <c r="A932" s="19"/>
      <c r="B932" s="19" t="str">
        <f>'All Responses'!N:N</f>
        <v/>
      </c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</row>
    <row r="933" ht="22.5" customHeight="1">
      <c r="A933" s="19"/>
      <c r="B933" s="19" t="str">
        <f>'All Responses'!N:N</f>
        <v/>
      </c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</row>
    <row r="934" ht="22.5" customHeight="1">
      <c r="A934" s="19"/>
      <c r="B934" s="19" t="str">
        <f>'All Responses'!N:N</f>
        <v/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</row>
    <row r="935" ht="22.5" customHeight="1">
      <c r="A935" s="19"/>
      <c r="B935" s="19" t="str">
        <f>'All Responses'!N:N</f>
        <v/>
      </c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</row>
    <row r="936" ht="22.5" customHeight="1">
      <c r="A936" s="19"/>
      <c r="B936" s="19" t="str">
        <f>'All Responses'!N:N</f>
        <v/>
      </c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</row>
    <row r="937" ht="22.5" customHeight="1">
      <c r="A937" s="19"/>
      <c r="B937" s="19" t="str">
        <f>'All Responses'!N:N</f>
        <v/>
      </c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</row>
    <row r="938" ht="22.5" customHeight="1">
      <c r="A938" s="19"/>
      <c r="B938" s="19" t="str">
        <f>'All Responses'!N:N</f>
        <v/>
      </c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</row>
    <row r="939" ht="22.5" customHeight="1">
      <c r="A939" s="19"/>
      <c r="B939" s="19" t="str">
        <f>'All Responses'!N:N</f>
        <v/>
      </c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</row>
    <row r="940" ht="22.5" customHeight="1">
      <c r="A940" s="19"/>
      <c r="B940" s="19" t="str">
        <f>'All Responses'!N:N</f>
        <v/>
      </c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</row>
    <row r="941" ht="22.5" customHeight="1">
      <c r="A941" s="19"/>
      <c r="B941" s="19" t="str">
        <f>'All Responses'!N:N</f>
        <v/>
      </c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</row>
    <row r="942" ht="22.5" customHeight="1">
      <c r="A942" s="19"/>
      <c r="B942" s="19" t="str">
        <f>'All Responses'!N:N</f>
        <v/>
      </c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</row>
    <row r="943" ht="22.5" customHeight="1">
      <c r="A943" s="19"/>
      <c r="B943" s="19" t="str">
        <f>'All Responses'!N:N</f>
        <v/>
      </c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</row>
    <row r="944" ht="22.5" customHeight="1">
      <c r="A944" s="19"/>
      <c r="B944" s="19" t="str">
        <f>'All Responses'!N:N</f>
        <v/>
      </c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</row>
    <row r="945" ht="22.5" customHeight="1">
      <c r="A945" s="19"/>
      <c r="B945" s="19" t="str">
        <f>'All Responses'!N:N</f>
        <v/>
      </c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</row>
    <row r="946" ht="22.5" customHeight="1">
      <c r="A946" s="19"/>
      <c r="B946" s="19" t="str">
        <f>'All Responses'!N:N</f>
        <v/>
      </c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</row>
    <row r="947" ht="22.5" customHeight="1">
      <c r="A947" s="19"/>
      <c r="B947" s="19" t="str">
        <f>'All Responses'!N:N</f>
        <v/>
      </c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</row>
    <row r="948" ht="22.5" customHeight="1">
      <c r="A948" s="19"/>
      <c r="B948" s="19" t="str">
        <f>'All Responses'!N:N</f>
        <v/>
      </c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</row>
    <row r="949" ht="22.5" customHeight="1">
      <c r="A949" s="19"/>
      <c r="B949" s="19" t="str">
        <f>'All Responses'!N:N</f>
        <v/>
      </c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</row>
    <row r="950" ht="22.5" customHeight="1">
      <c r="A950" s="19"/>
      <c r="B950" s="19" t="str">
        <f>'All Responses'!N:N</f>
        <v/>
      </c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</row>
    <row r="951" ht="22.5" customHeight="1">
      <c r="A951" s="19"/>
      <c r="B951" s="19" t="str">
        <f>'All Responses'!N:N</f>
        <v/>
      </c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</row>
    <row r="952" ht="22.5" customHeight="1">
      <c r="A952" s="19"/>
      <c r="B952" s="19" t="str">
        <f>'All Responses'!N:N</f>
        <v/>
      </c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</row>
    <row r="953" ht="22.5" customHeight="1">
      <c r="A953" s="19"/>
      <c r="B953" s="19" t="str">
        <f>'All Responses'!N:N</f>
        <v/>
      </c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</row>
    <row r="954" ht="22.5" customHeight="1">
      <c r="A954" s="19"/>
      <c r="B954" s="19" t="str">
        <f>'All Responses'!N:N</f>
        <v/>
      </c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</row>
    <row r="955" ht="22.5" customHeight="1">
      <c r="A955" s="19"/>
      <c r="B955" s="19" t="str">
        <f>'All Responses'!N:N</f>
        <v/>
      </c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</row>
    <row r="956" ht="22.5" customHeight="1">
      <c r="A956" s="19"/>
      <c r="B956" s="19" t="str">
        <f>'All Responses'!N:N</f>
        <v/>
      </c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</row>
    <row r="957" ht="22.5" customHeight="1">
      <c r="A957" s="19"/>
      <c r="B957" s="19" t="str">
        <f>'All Responses'!N:N</f>
        <v/>
      </c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</row>
    <row r="958" ht="22.5" customHeight="1">
      <c r="A958" s="19"/>
      <c r="B958" s="19" t="str">
        <f>'All Responses'!N:N</f>
        <v/>
      </c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</row>
    <row r="959" ht="22.5" customHeight="1">
      <c r="A959" s="19"/>
      <c r="B959" s="19" t="str">
        <f>'All Responses'!N:N</f>
        <v/>
      </c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</row>
    <row r="960" ht="22.5" customHeight="1">
      <c r="A960" s="19"/>
      <c r="B960" s="19" t="str">
        <f>'All Responses'!N:N</f>
        <v/>
      </c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</row>
    <row r="961" ht="22.5" customHeight="1">
      <c r="A961" s="19"/>
      <c r="B961" s="19" t="str">
        <f>'All Responses'!N:N</f>
        <v/>
      </c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</row>
    <row r="962" ht="22.5" customHeight="1">
      <c r="A962" s="19"/>
      <c r="B962" s="19" t="str">
        <f>'All Responses'!N:N</f>
        <v/>
      </c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</row>
    <row r="963" ht="22.5" customHeight="1">
      <c r="A963" s="19"/>
      <c r="B963" s="19" t="str">
        <f>'All Responses'!N:N</f>
        <v/>
      </c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</row>
    <row r="964" ht="22.5" customHeight="1">
      <c r="A964" s="19"/>
      <c r="B964" s="19" t="str">
        <f>'All Responses'!N:N</f>
        <v/>
      </c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</row>
    <row r="965" ht="22.5" customHeight="1">
      <c r="A965" s="19"/>
      <c r="B965" s="19" t="str">
        <f>'All Responses'!N:N</f>
        <v/>
      </c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</row>
    <row r="966" ht="22.5" customHeight="1">
      <c r="A966" s="19"/>
      <c r="B966" s="19" t="str">
        <f>'All Responses'!N:N</f>
        <v/>
      </c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</row>
    <row r="967" ht="22.5" customHeight="1">
      <c r="A967" s="19"/>
      <c r="B967" s="19" t="str">
        <f>'All Responses'!N:N</f>
        <v/>
      </c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</row>
    <row r="968" ht="22.5" customHeight="1">
      <c r="A968" s="19"/>
      <c r="B968" s="19" t="str">
        <f>'All Responses'!N:N</f>
        <v/>
      </c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</row>
    <row r="969" ht="22.5" customHeight="1">
      <c r="A969" s="19"/>
      <c r="B969" s="19" t="str">
        <f>'All Responses'!N:N</f>
        <v/>
      </c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</row>
    <row r="970" ht="22.5" customHeight="1">
      <c r="A970" s="19"/>
      <c r="B970" s="19" t="str">
        <f>'All Responses'!N:N</f>
        <v/>
      </c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</row>
    <row r="971" ht="22.5" customHeight="1">
      <c r="A971" s="19"/>
      <c r="B971" s="19" t="str">
        <f>'All Responses'!N:N</f>
        <v/>
      </c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</row>
    <row r="972" ht="22.5" customHeight="1">
      <c r="A972" s="19"/>
      <c r="B972" s="19" t="str">
        <f>'All Responses'!N:N</f>
        <v/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</row>
    <row r="973" ht="22.5" customHeight="1">
      <c r="A973" s="19"/>
      <c r="B973" s="19" t="str">
        <f>'All Responses'!N:N</f>
        <v/>
      </c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</row>
    <row r="974" ht="22.5" customHeight="1">
      <c r="A974" s="19"/>
      <c r="B974" s="19" t="str">
        <f>'All Responses'!N:N</f>
        <v/>
      </c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</row>
    <row r="975" ht="22.5" customHeight="1">
      <c r="A975" s="19"/>
      <c r="B975" s="19" t="str">
        <f>'All Responses'!N:N</f>
        <v/>
      </c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</row>
    <row r="976" ht="22.5" customHeight="1">
      <c r="A976" s="19"/>
      <c r="B976" s="19" t="str">
        <f>'All Responses'!N:N</f>
        <v/>
      </c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</row>
    <row r="977" ht="22.5" customHeight="1">
      <c r="A977" s="19"/>
      <c r="B977" s="19" t="str">
        <f>'All Responses'!N:N</f>
        <v/>
      </c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</row>
    <row r="978" ht="22.5" customHeight="1">
      <c r="A978" s="19"/>
      <c r="B978" s="19" t="str">
        <f>'All Responses'!N:N</f>
        <v/>
      </c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</row>
    <row r="979" ht="22.5" customHeight="1">
      <c r="A979" s="19"/>
      <c r="B979" s="19" t="str">
        <f>'All Responses'!N:N</f>
        <v/>
      </c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</row>
    <row r="980" ht="22.5" customHeight="1">
      <c r="A980" s="19"/>
      <c r="B980" s="19" t="str">
        <f>'All Responses'!N:N</f>
        <v/>
      </c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</row>
    <row r="981" ht="22.5" customHeight="1">
      <c r="A981" s="19"/>
      <c r="B981" s="19" t="str">
        <f>'All Responses'!N:N</f>
        <v/>
      </c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</row>
    <row r="982" ht="22.5" customHeight="1">
      <c r="A982" s="19"/>
      <c r="B982" s="19" t="str">
        <f>'All Responses'!N:N</f>
        <v/>
      </c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</row>
    <row r="983" ht="22.5" customHeight="1">
      <c r="A983" s="19"/>
      <c r="B983" s="19" t="str">
        <f>'All Responses'!N:N</f>
        <v/>
      </c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</row>
    <row r="984" ht="22.5" customHeight="1">
      <c r="A984" s="19"/>
      <c r="B984" s="19" t="str">
        <f>'All Responses'!N:N</f>
        <v/>
      </c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</row>
    <row r="985" ht="22.5" customHeight="1">
      <c r="A985" s="19"/>
      <c r="B985" s="19" t="str">
        <f>'All Responses'!N:N</f>
        <v/>
      </c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</row>
    <row r="986" ht="22.5" customHeight="1">
      <c r="A986" s="19"/>
      <c r="B986" s="19" t="str">
        <f>'All Responses'!N:N</f>
        <v/>
      </c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</row>
    <row r="987" ht="22.5" customHeight="1">
      <c r="A987" s="19"/>
      <c r="B987" s="19" t="str">
        <f>'All Responses'!N:N</f>
        <v/>
      </c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</row>
    <row r="988" ht="22.5" customHeight="1">
      <c r="A988" s="19"/>
      <c r="B988" s="19" t="str">
        <f>'All Responses'!N:N</f>
        <v/>
      </c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</row>
    <row r="989" ht="22.5" customHeight="1">
      <c r="A989" s="19"/>
      <c r="B989" s="19" t="str">
        <f>'All Responses'!N:N</f>
        <v/>
      </c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</row>
    <row r="990" ht="22.5" customHeight="1">
      <c r="A990" s="19"/>
      <c r="B990" s="19" t="str">
        <f>'All Responses'!N:N</f>
        <v/>
      </c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</row>
    <row r="991" ht="22.5" customHeight="1">
      <c r="A991" s="19"/>
      <c r="B991" s="19" t="str">
        <f>'All Responses'!N:N</f>
        <v/>
      </c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</row>
    <row r="992" ht="22.5" customHeight="1">
      <c r="A992" s="19"/>
      <c r="B992" s="19" t="str">
        <f>'All Responses'!N:N</f>
        <v/>
      </c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</row>
    <row r="993" ht="22.5" customHeight="1">
      <c r="A993" s="19"/>
      <c r="B993" s="19" t="str">
        <f>'All Responses'!N:N</f>
        <v/>
      </c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</row>
    <row r="994" ht="22.5" customHeight="1">
      <c r="A994" s="19"/>
      <c r="B994" s="19" t="str">
        <f>'All Responses'!N:N</f>
        <v/>
      </c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</row>
    <row r="995" ht="22.5" customHeight="1">
      <c r="A995" s="19"/>
      <c r="B995" s="19" t="str">
        <f>'All Responses'!N:N</f>
        <v/>
      </c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</row>
    <row r="996" ht="22.5" customHeight="1">
      <c r="A996" s="19"/>
      <c r="B996" s="19" t="str">
        <f>'All Responses'!N:N</f>
        <v/>
      </c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</row>
    <row r="997" ht="22.5" customHeight="1">
      <c r="A997" s="19"/>
      <c r="B997" s="19" t="str">
        <f>'All Responses'!N:N</f>
        <v/>
      </c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</row>
    <row r="998" ht="22.5" customHeight="1">
      <c r="A998" s="19"/>
      <c r="B998" s="19" t="str">
        <f>'All Responses'!N:N</f>
        <v/>
      </c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</row>
    <row r="999" ht="22.5" customHeight="1">
      <c r="A999" s="19"/>
      <c r="B999" s="19" t="str">
        <f>'All Responses'!N:N</f>
        <v/>
      </c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</row>
    <row r="1000" ht="22.5" customHeight="1">
      <c r="A1000" s="19"/>
      <c r="B1000" s="19" t="str">
        <f>'All Responses'!N:N</f>
        <v/>
      </c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</row>
  </sheetData>
  <conditionalFormatting sqref="O2:AI1000">
    <cfRule type="containsText" dxfId="5" priority="1" operator="containsText" text="Yes">
      <formula>NOT(ISERROR(SEARCH(("Yes"),(O2))))</formula>
    </cfRule>
  </conditionalFormatting>
  <conditionalFormatting sqref="O2:AI1000">
    <cfRule type="containsText" dxfId="5" priority="2" operator="containsText" text="Required">
      <formula>NOT(ISERROR(SEARCH(("Required"),(O2))))</formula>
    </cfRule>
  </conditionalFormatting>
  <conditionalFormatting sqref="O1:AI1000">
    <cfRule type="containsText" dxfId="6" priority="3" operator="containsText" text="No">
      <formula>NOT(ISERROR(SEARCH(("No"),(O1))))</formula>
    </cfRule>
  </conditionalFormatting>
  <conditionalFormatting sqref="O1:AI1000">
    <cfRule type="containsText" dxfId="6" priority="4" operator="containsText" text="Not Required">
      <formula>NOT(ISERROR(SEARCH(("Not Required"),(O1))))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3.63"/>
    <col customWidth="1" min="3" max="3" width="15.38"/>
    <col customWidth="1" min="4" max="4" width="14.13"/>
    <col customWidth="1" min="5" max="5" width="17.38"/>
    <col customWidth="1" min="6" max="6" width="17.5"/>
    <col customWidth="1" min="7" max="7" width="21.63"/>
    <col customWidth="1" min="8" max="8" width="19.0"/>
    <col customWidth="1" min="9" max="9" width="18.13"/>
    <col customWidth="1" min="12" max="12" width="14.0"/>
    <col customWidth="1" min="13" max="13" width="16.38"/>
    <col customWidth="1" min="18" max="18" width="17.0"/>
    <col customWidth="1" min="19" max="19" width="17.5"/>
    <col customWidth="1" min="20" max="20" width="31.88"/>
    <col customWidth="1" min="21" max="21" width="26.38"/>
    <col customWidth="1" min="22" max="22" width="35.25"/>
    <col customWidth="1" min="23" max="23" width="20.13"/>
    <col customWidth="1" min="24" max="24" width="22.5"/>
    <col customWidth="1" min="25" max="25" width="20.25"/>
  </cols>
  <sheetData>
    <row r="1" ht="22.5" customHeight="1">
      <c r="A1" s="21" t="s">
        <v>499</v>
      </c>
      <c r="B1" s="21" t="s">
        <v>13</v>
      </c>
      <c r="C1" s="17" t="s">
        <v>14</v>
      </c>
      <c r="D1" s="17" t="s">
        <v>15</v>
      </c>
      <c r="E1" s="17" t="s">
        <v>16</v>
      </c>
      <c r="F1" s="17" t="s">
        <v>509</v>
      </c>
      <c r="G1" s="17" t="s">
        <v>510</v>
      </c>
      <c r="H1" s="17" t="s">
        <v>8</v>
      </c>
      <c r="I1" s="21" t="s">
        <v>511</v>
      </c>
      <c r="J1" s="21" t="s">
        <v>512</v>
      </c>
      <c r="K1" s="21" t="s">
        <v>513</v>
      </c>
      <c r="L1" s="21" t="s">
        <v>38</v>
      </c>
      <c r="M1" s="21" t="s">
        <v>502</v>
      </c>
      <c r="N1" s="21" t="s">
        <v>23</v>
      </c>
      <c r="O1" s="21" t="s">
        <v>514</v>
      </c>
      <c r="P1" s="21" t="s">
        <v>28</v>
      </c>
      <c r="Q1" s="21" t="s">
        <v>515</v>
      </c>
      <c r="R1" s="21" t="s">
        <v>43</v>
      </c>
      <c r="S1" s="21" t="s">
        <v>2</v>
      </c>
      <c r="T1" s="22" t="s">
        <v>516</v>
      </c>
      <c r="U1" s="17" t="s">
        <v>517</v>
      </c>
      <c r="V1" s="17" t="s">
        <v>518</v>
      </c>
      <c r="W1" s="23" t="s">
        <v>519</v>
      </c>
      <c r="X1" s="24" t="s">
        <v>520</v>
      </c>
      <c r="Y1" s="24" t="s">
        <v>521</v>
      </c>
    </row>
    <row r="2" ht="22.5" customHeight="1">
      <c r="A2" s="19">
        <f>IFERROR(__xludf.DUMMYFUNCTION("FILTER('All Responses'!M:M, 'All Responses'!C:C = ""Completed"")"),2.5072906E8)</f>
        <v>250729060</v>
      </c>
      <c r="B2" s="19" t="str">
        <f>IFERROR(__xludf.DUMMYFUNCTION("FILTER('All Responses'!N:N, 'All Responses'!C:C = ""Completed"")"),"John")</f>
        <v>John</v>
      </c>
      <c r="C2" s="25" t="str">
        <f>IFERROR(__xludf.DUMMYFUNCTION("FILTER('All Responses'!O:O, 'All Responses'!C:C = ""Completed"")"),"JD")</f>
        <v>JD</v>
      </c>
      <c r="D2" s="25" t="str">
        <f>IFERROR(__xludf.DUMMYFUNCTION("FILTER('All Responses'!P:P, 'All Responses'!C:C = ""Completed"")"),"Doe")</f>
        <v>Doe</v>
      </c>
      <c r="E2" s="25" t="str">
        <f>IFERROR(__xludf.DUMMYFUNCTION("FILTER('All Responses'!Q:Q, 'All Responses'!C:C = ""Completed"")"),"JD")</f>
        <v>JD</v>
      </c>
      <c r="F2" s="26" t="str">
        <f>IFERROR(__xludf.DUMMYFUNCTION("FILTER('All Responses'!I:I, 'All Responses'!C:C = ""Completed"")"),"")</f>
        <v/>
      </c>
      <c r="G2" s="19" t="str">
        <f>IFERROR(__xludf.DUMMYFUNCTION("FILTER('All Responses'!S:S, 'All Responses'!C:C = ""Completed"")"),"Decostar")</f>
        <v>Decostar</v>
      </c>
      <c r="H2" s="20" t="str">
        <f>IFERROR(__xludf.DUMMYFUNCTION("FILTER('All Responses'!I:I, 'All Responses'!C:C = ""Completed"")"),"")</f>
        <v/>
      </c>
      <c r="I2" s="20">
        <f>IFERROR(__xludf.DUMMYFUNCTION("FILTER('All Responses'!BW:BW, 'All Responses'!C:C = ""Completed"")"),45867.62397212963)</f>
        <v>45867.62397</v>
      </c>
      <c r="J2" s="27">
        <f>IFERROR(__xludf.DUMMYFUNCTION("FILTER('All Responses'!CP:CP, 'All Responses'!C:C = ""Completed"")"),45867.62460070602)</f>
        <v>45867.6246</v>
      </c>
      <c r="K2" s="19" t="str">
        <f>IFERROR(__xludf.DUMMYFUNCTION("FILTER('All Responses'!CV:CV, 'All Responses'!C:C = ""Completed"")"),"")</f>
        <v/>
      </c>
      <c r="L2" s="19" t="str">
        <f>IFERROR(__xludf.DUMMYFUNCTION("FILTER('All Responses'!DI:DI, 'All Responses'!C:C = ""Completed"")"),"")</f>
        <v/>
      </c>
      <c r="M2" s="19" t="str">
        <f>IFERROR(__xludf.DUMMYFUNCTION("FILTER('All Responses'!DK:DK, 'All Responses'!C:C = ""Completed"")"),"")</f>
        <v/>
      </c>
      <c r="N2" s="19" t="str">
        <f>IFERROR(__xludf.DUMMYFUNCTION("FILTER('All Responses'!DM:DM, 'All Responses'!C:C = ""Completed"")"),"")</f>
        <v/>
      </c>
      <c r="O2" s="19" t="str">
        <f>IFERROR(__xludf.DUMMYFUNCTION("FILTER('All Responses'!DO:DO, 'All Responses'!C:C = ""Completed"")"),"")</f>
        <v/>
      </c>
      <c r="P2" s="19" t="str">
        <f>IFERROR(__xludf.DUMMYFUNCTION("FILTER('All Responses'!DX:DX, 'All Responses'!C:C = ""Completed"")"),"")</f>
        <v/>
      </c>
      <c r="Q2" s="19" t="str">
        <f>IFERROR(__xludf.DUMMYFUNCTION("FILTER('All Responses'!DZ:DZ, 'All Responses'!C:C = ""Completed"")"),"")</f>
        <v/>
      </c>
      <c r="R2" s="19" t="str">
        <f>IFERROR(__xludf.DUMMYFUNCTION("FILTER('All Responses'!DT:DT, 'All Responses'!C:C = ""Completed"")"),"")</f>
        <v/>
      </c>
      <c r="S2" s="19" t="str">
        <f>IFERROR(__xludf.DUMMYFUNCTION("FILTER('All Responses'!C:C, 'All Responses'!C:C = ""Completed"")"),"Completed")</f>
        <v>Completed</v>
      </c>
      <c r="T2" s="28">
        <f>IFERROR(__xludf.DUMMYFUNCTION("FILTER('All Responses'!A:A, 'All Responses'!C:C = ""Completed"")"),45867.62260074074)</f>
        <v>45867.6226</v>
      </c>
      <c r="U2" s="28">
        <f>IFERROR(__xludf.DUMMYFUNCTION("FILTER('All Responses'!ED:ED, 'All Responses'!C:C = ""Completed"")"),45867.62509259259)</f>
        <v>45867.62509</v>
      </c>
      <c r="V2" s="29">
        <f>IFERROR(__xludf.DUMMYFUNCTION("FILTER('All Responses'!BK:BK, 'All Responses'!C:C = ""Completed"")"),45873.0)</f>
        <v>45873</v>
      </c>
      <c r="W2" s="30">
        <f t="array" ref="W2">DATEDIF(T2, V2, "D")</f>
        <v>6</v>
      </c>
      <c r="X2" s="30">
        <f t="shared" ref="X2:X29" si="1">DATEDIF(T2, U2, "D")</f>
        <v>0</v>
      </c>
      <c r="Y2" s="24"/>
    </row>
    <row r="3" ht="16.5" hidden="1" customHeight="1">
      <c r="A3" s="19">
        <f>IFERROR(__xludf.DUMMYFUNCTION("""COMPUTED_VALUE"""),2.50729062E8)</f>
        <v>250729062</v>
      </c>
      <c r="B3" s="19" t="str">
        <f>IFERROR(__xludf.DUMMYFUNCTION("""COMPUTED_VALUE"""),"John")</f>
        <v>John</v>
      </c>
      <c r="C3" s="19" t="str">
        <f>IFERROR(__xludf.DUMMYFUNCTION("""COMPUTED_VALUE"""),"z")</f>
        <v>z</v>
      </c>
      <c r="D3" s="19" t="str">
        <f>IFERROR(__xludf.DUMMYFUNCTION("""COMPUTED_VALUE"""),"Doe")</f>
        <v>Doe</v>
      </c>
      <c r="E3" s="19" t="str">
        <f>IFERROR(__xludf.DUMMYFUNCTION("""COMPUTED_VALUE"""),"JZ")</f>
        <v>JZ</v>
      </c>
      <c r="F3" s="20">
        <f>IFERROR(__xludf.DUMMYFUNCTION("""COMPUTED_VALUE"""),45875.0)</f>
        <v>45875</v>
      </c>
      <c r="G3" s="19" t="str">
        <f>IFERROR(__xludf.DUMMYFUNCTION("""COMPUTED_VALUE"""),"Etobicote")</f>
        <v>Etobicote</v>
      </c>
      <c r="H3" s="20">
        <f>IFERROR(__xludf.DUMMYFUNCTION("""COMPUTED_VALUE"""),45875.0)</f>
        <v>45875</v>
      </c>
      <c r="I3" s="20">
        <f>IFERROR(__xludf.DUMMYFUNCTION("""COMPUTED_VALUE"""),45867.63691163194)</f>
        <v>45867.63691</v>
      </c>
      <c r="J3" s="27">
        <f>IFERROR(__xludf.DUMMYFUNCTION("""COMPUTED_VALUE"""),45867.63854743056)</f>
        <v>45867.63855</v>
      </c>
      <c r="K3" s="19"/>
      <c r="L3" s="19"/>
      <c r="M3" s="19"/>
      <c r="N3" s="19"/>
      <c r="O3" s="19"/>
      <c r="P3" s="19"/>
      <c r="Q3" s="19"/>
      <c r="R3" s="19"/>
      <c r="S3" s="19" t="str">
        <f>IFERROR(__xludf.DUMMYFUNCTION("""COMPUTED_VALUE"""),"Completed")</f>
        <v>Completed</v>
      </c>
      <c r="T3" s="28"/>
      <c r="U3" s="28">
        <f>IFERROR(__xludf.DUMMYFUNCTION("""COMPUTED_VALUE"""),45867.639444444445)</f>
        <v>45867.63944</v>
      </c>
      <c r="V3" s="29">
        <f>IFERROR(__xludf.DUMMYFUNCTION("""COMPUTED_VALUE"""),45867.0)</f>
        <v>45867</v>
      </c>
      <c r="W3" s="30">
        <f t="array" ref="W3">DATEDIF(T3, V3, "D")</f>
        <v>45867</v>
      </c>
      <c r="X3" s="30">
        <f t="shared" si="1"/>
        <v>45867</v>
      </c>
      <c r="Y3" s="24"/>
    </row>
    <row r="4" ht="22.5" customHeight="1">
      <c r="A4" s="19">
        <f>IFERROR(__xludf.DUMMYFUNCTION("""COMPUTED_VALUE"""),2.50729063E8)</f>
        <v>250729063</v>
      </c>
      <c r="B4" s="19" t="str">
        <f>IFERROR(__xludf.DUMMYFUNCTION("""COMPUTED_VALUE"""),"John")</f>
        <v>John</v>
      </c>
      <c r="C4" s="19" t="str">
        <f>IFERROR(__xludf.DUMMYFUNCTION("""COMPUTED_VALUE"""),"JD")</f>
        <v>JD</v>
      </c>
      <c r="D4" s="19" t="str">
        <f>IFERROR(__xludf.DUMMYFUNCTION("""COMPUTED_VALUE"""),"Doe")</f>
        <v>Doe</v>
      </c>
      <c r="E4" s="19" t="str">
        <f>IFERROR(__xludf.DUMMYFUNCTION("""COMPUTED_VALUE"""),"JD")</f>
        <v>JD</v>
      </c>
      <c r="F4" s="20">
        <f>IFERROR(__xludf.DUMMYFUNCTION("""COMPUTED_VALUE"""),45876.0)</f>
        <v>45876</v>
      </c>
      <c r="G4" s="19" t="str">
        <f>IFERROR(__xludf.DUMMYFUNCTION("""COMPUTED_VALUE"""),"Decostar")</f>
        <v>Decostar</v>
      </c>
      <c r="H4" s="20">
        <f>IFERROR(__xludf.DUMMYFUNCTION("""COMPUTED_VALUE"""),45876.0)</f>
        <v>45876</v>
      </c>
      <c r="I4" s="20">
        <f>IFERROR(__xludf.DUMMYFUNCTION("""COMPUTED_VALUE"""),45867.6603109375)</f>
        <v>45867.66031</v>
      </c>
      <c r="J4" s="27">
        <f>IFERROR(__xludf.DUMMYFUNCTION("""COMPUTED_VALUE"""),45867.66179622685)</f>
        <v>45867.6618</v>
      </c>
      <c r="K4" s="19"/>
      <c r="L4" s="19"/>
      <c r="M4" s="19"/>
      <c r="N4" s="19"/>
      <c r="O4" s="19"/>
      <c r="P4" s="19"/>
      <c r="Q4" s="19"/>
      <c r="R4" s="19"/>
      <c r="S4" s="19" t="str">
        <f>IFERROR(__xludf.DUMMYFUNCTION("""COMPUTED_VALUE"""),"Completed")</f>
        <v>Completed</v>
      </c>
      <c r="T4" s="28">
        <f>IFERROR(__xludf.DUMMYFUNCTION("""COMPUTED_VALUE"""),45867.65915564814)</f>
        <v>45867.65916</v>
      </c>
      <c r="U4" s="28">
        <f>IFERROR(__xludf.DUMMYFUNCTION("""COMPUTED_VALUE"""),45867.66239690973)</f>
        <v>45867.6624</v>
      </c>
      <c r="V4" s="29">
        <f>IFERROR(__xludf.DUMMYFUNCTION("""COMPUTED_VALUE"""),45875.0)</f>
        <v>45875</v>
      </c>
      <c r="W4" s="30">
        <f t="array" ref="W4">DATEDIF(T4, V4, "D")</f>
        <v>8</v>
      </c>
      <c r="X4" s="30">
        <f t="shared" si="1"/>
        <v>0</v>
      </c>
      <c r="Y4" s="24"/>
    </row>
    <row r="5" ht="22.5" customHeight="1">
      <c r="A5" s="19">
        <f>IFERROR(__xludf.DUMMYFUNCTION("""COMPUTED_VALUE"""),2.50729064E8)</f>
        <v>250729064</v>
      </c>
      <c r="B5" s="19" t="str">
        <f>IFERROR(__xludf.DUMMYFUNCTION("""COMPUTED_VALUE"""),"John")</f>
        <v>John</v>
      </c>
      <c r="C5" s="19" t="str">
        <f>IFERROR(__xludf.DUMMYFUNCTION("""COMPUTED_VALUE"""),"JD")</f>
        <v>JD</v>
      </c>
      <c r="D5" s="19" t="str">
        <f>IFERROR(__xludf.DUMMYFUNCTION("""COMPUTED_VALUE"""),"Doe")</f>
        <v>Doe</v>
      </c>
      <c r="E5" s="19" t="str">
        <f>IFERROR(__xludf.DUMMYFUNCTION("""COMPUTED_VALUE"""),"JD")</f>
        <v>JD</v>
      </c>
      <c r="F5" s="20">
        <f>IFERROR(__xludf.DUMMYFUNCTION("""COMPUTED_VALUE"""),45875.0)</f>
        <v>45875</v>
      </c>
      <c r="G5" s="19" t="str">
        <f>IFERROR(__xludf.DUMMYFUNCTION("""COMPUTED_VALUE"""),"Etobicote")</f>
        <v>Etobicote</v>
      </c>
      <c r="H5" s="20">
        <f>IFERROR(__xludf.DUMMYFUNCTION("""COMPUTED_VALUE"""),45875.0)</f>
        <v>45875</v>
      </c>
      <c r="I5" s="20">
        <f>IFERROR(__xludf.DUMMYFUNCTION("""COMPUTED_VALUE"""),45867.673139085644)</f>
        <v>45867.67314</v>
      </c>
      <c r="J5" s="27">
        <f>IFERROR(__xludf.DUMMYFUNCTION("""COMPUTED_VALUE"""),45867.67417868055)</f>
        <v>45867.67418</v>
      </c>
      <c r="K5" s="19"/>
      <c r="L5" s="19"/>
      <c r="M5" s="19"/>
      <c r="N5" s="19"/>
      <c r="O5" s="19"/>
      <c r="P5" s="19"/>
      <c r="Q5" s="19"/>
      <c r="R5" s="19"/>
      <c r="S5" s="19" t="str">
        <f>IFERROR(__xludf.DUMMYFUNCTION("""COMPUTED_VALUE"""),"Completed")</f>
        <v>Completed</v>
      </c>
      <c r="T5" s="28">
        <f>IFERROR(__xludf.DUMMYFUNCTION("""COMPUTED_VALUE"""),45867.67209059028)</f>
        <v>45867.67209</v>
      </c>
      <c r="U5" s="28">
        <f>IFERROR(__xludf.DUMMYFUNCTION("""COMPUTED_VALUE"""),45867.674659027776)</f>
        <v>45867.67466</v>
      </c>
      <c r="V5" s="29">
        <f>IFERROR(__xludf.DUMMYFUNCTION("""COMPUTED_VALUE"""),45874.0)</f>
        <v>45874</v>
      </c>
      <c r="W5" s="30">
        <f t="array" ref="W5">DATEDIF(T5, V5, "D")</f>
        <v>7</v>
      </c>
      <c r="X5" s="30">
        <f t="shared" si="1"/>
        <v>0</v>
      </c>
      <c r="Y5" s="24"/>
    </row>
    <row r="6" ht="22.5" customHeight="1">
      <c r="A6" s="19">
        <f>IFERROR(__xludf.DUMMYFUNCTION("""COMPUTED_VALUE"""),2.50729065E8)</f>
        <v>250729065</v>
      </c>
      <c r="B6" s="19" t="str">
        <f>IFERROR(__xludf.DUMMYFUNCTION("""COMPUTED_VALUE"""),"John")</f>
        <v>John</v>
      </c>
      <c r="C6" s="19" t="str">
        <f>IFERROR(__xludf.DUMMYFUNCTION("""COMPUTED_VALUE"""),"JD")</f>
        <v>JD</v>
      </c>
      <c r="D6" s="19" t="str">
        <f>IFERROR(__xludf.DUMMYFUNCTION("""COMPUTED_VALUE"""),"Doe")</f>
        <v>Doe</v>
      </c>
      <c r="E6" s="19" t="str">
        <f>IFERROR(__xludf.DUMMYFUNCTION("""COMPUTED_VALUE"""),"JD")</f>
        <v>JD</v>
      </c>
      <c r="F6" s="20">
        <f>IFERROR(__xludf.DUMMYFUNCTION("""COMPUTED_VALUE"""),45875.0)</f>
        <v>45875</v>
      </c>
      <c r="G6" s="19" t="str">
        <f>IFERROR(__xludf.DUMMYFUNCTION("""COMPUTED_VALUE"""),"Etobicote")</f>
        <v>Etobicote</v>
      </c>
      <c r="H6" s="20">
        <f>IFERROR(__xludf.DUMMYFUNCTION("""COMPUTED_VALUE"""),45875.0)</f>
        <v>45875</v>
      </c>
      <c r="I6" s="20">
        <f>IFERROR(__xludf.DUMMYFUNCTION("""COMPUTED_VALUE"""),45867.68293570602)</f>
        <v>45867.68294</v>
      </c>
      <c r="J6" s="27">
        <f>IFERROR(__xludf.DUMMYFUNCTION("""COMPUTED_VALUE"""),45867.68350280092)</f>
        <v>45867.6835</v>
      </c>
      <c r="K6" s="19"/>
      <c r="L6" s="19"/>
      <c r="M6" s="19"/>
      <c r="N6" s="19"/>
      <c r="O6" s="19"/>
      <c r="P6" s="19"/>
      <c r="Q6" s="19"/>
      <c r="R6" s="19"/>
      <c r="S6" s="19" t="str">
        <f>IFERROR(__xludf.DUMMYFUNCTION("""COMPUTED_VALUE"""),"Completed")</f>
        <v>Completed</v>
      </c>
      <c r="T6" s="28">
        <f>IFERROR(__xludf.DUMMYFUNCTION("""COMPUTED_VALUE"""),45867.68225277778)</f>
        <v>45867.68225</v>
      </c>
      <c r="U6" s="28">
        <f>IFERROR(__xludf.DUMMYFUNCTION("""COMPUTED_VALUE"""),45867.683977002314)</f>
        <v>45867.68398</v>
      </c>
      <c r="V6" s="29">
        <f>IFERROR(__xludf.DUMMYFUNCTION("""COMPUTED_VALUE"""),45874.0)</f>
        <v>45874</v>
      </c>
      <c r="W6" s="30">
        <f t="array" ref="W6">DATEDIF(T6, V6, "D")</f>
        <v>7</v>
      </c>
      <c r="X6" s="30">
        <f t="shared" si="1"/>
        <v>0</v>
      </c>
      <c r="Y6" s="24"/>
    </row>
    <row r="7" ht="22.5" customHeight="1">
      <c r="A7" s="19">
        <f>IFERROR(__xludf.DUMMYFUNCTION("""COMPUTED_VALUE"""),2.50729066E8)</f>
        <v>250729066</v>
      </c>
      <c r="B7" s="19" t="str">
        <f>IFERROR(__xludf.DUMMYFUNCTION("""COMPUTED_VALUE"""),"John")</f>
        <v>John</v>
      </c>
      <c r="C7" s="19" t="str">
        <f>IFERROR(__xludf.DUMMYFUNCTION("""COMPUTED_VALUE"""),"JD")</f>
        <v>JD</v>
      </c>
      <c r="D7" s="19" t="str">
        <f>IFERROR(__xludf.DUMMYFUNCTION("""COMPUTED_VALUE"""),"Doe")</f>
        <v>Doe</v>
      </c>
      <c r="E7" s="19" t="str">
        <f>IFERROR(__xludf.DUMMYFUNCTION("""COMPUTED_VALUE"""),"JD")</f>
        <v>JD</v>
      </c>
      <c r="F7" s="20">
        <f>IFERROR(__xludf.DUMMYFUNCTION("""COMPUTED_VALUE"""),45875.0)</f>
        <v>45875</v>
      </c>
      <c r="G7" s="19" t="str">
        <f>IFERROR(__xludf.DUMMYFUNCTION("""COMPUTED_VALUE"""),"Edmonton")</f>
        <v>Edmonton</v>
      </c>
      <c r="H7" s="20">
        <f>IFERROR(__xludf.DUMMYFUNCTION("""COMPUTED_VALUE"""),45875.0)</f>
        <v>45875</v>
      </c>
      <c r="I7" s="20">
        <f>IFERROR(__xludf.DUMMYFUNCTION("""COMPUTED_VALUE"""),45867.70395549768)</f>
        <v>45867.70396</v>
      </c>
      <c r="J7" s="27">
        <f>IFERROR(__xludf.DUMMYFUNCTION("""COMPUTED_VALUE"""),45867.70906474537)</f>
        <v>45867.70906</v>
      </c>
      <c r="K7" s="19"/>
      <c r="L7" s="19"/>
      <c r="M7" s="19"/>
      <c r="N7" s="19"/>
      <c r="O7" s="19"/>
      <c r="P7" s="19"/>
      <c r="Q7" s="19"/>
      <c r="R7" s="19"/>
      <c r="S7" s="19" t="str">
        <f>IFERROR(__xludf.DUMMYFUNCTION("""COMPUTED_VALUE"""),"Completed")</f>
        <v>Completed</v>
      </c>
      <c r="T7" s="28">
        <f>IFERROR(__xludf.DUMMYFUNCTION("""COMPUTED_VALUE"""),45867.70198914352)</f>
        <v>45867.70199</v>
      </c>
      <c r="U7" s="28">
        <f>IFERROR(__xludf.DUMMYFUNCTION("""COMPUTED_VALUE"""),45867.709885625)</f>
        <v>45867.70989</v>
      </c>
      <c r="V7" s="29">
        <f>IFERROR(__xludf.DUMMYFUNCTION("""COMPUTED_VALUE"""),45874.0)</f>
        <v>45874</v>
      </c>
      <c r="W7" s="30">
        <f t="array" ref="W7">DATEDIF(T7, V7, "D")</f>
        <v>7</v>
      </c>
      <c r="X7" s="30">
        <f t="shared" si="1"/>
        <v>0</v>
      </c>
      <c r="Y7" s="24"/>
    </row>
    <row r="8" ht="16.5" hidden="1" customHeight="1">
      <c r="A8" s="19">
        <f>IFERROR(__xludf.DUMMYFUNCTION("""COMPUTED_VALUE"""),2.50730001E8)</f>
        <v>250730001</v>
      </c>
      <c r="B8" s="19" t="str">
        <f>IFERROR(__xludf.DUMMYFUNCTION("""COMPUTED_VALUE"""),"John")</f>
        <v>John</v>
      </c>
      <c r="C8" s="19" t="str">
        <f>IFERROR(__xludf.DUMMYFUNCTION("""COMPUTED_VALUE"""),"JD")</f>
        <v>JD</v>
      </c>
      <c r="D8" s="19" t="str">
        <f>IFERROR(__xludf.DUMMYFUNCTION("""COMPUTED_VALUE"""),"Doe")</f>
        <v>Doe</v>
      </c>
      <c r="E8" s="19" t="str">
        <f>IFERROR(__xludf.DUMMYFUNCTION("""COMPUTED_VALUE"""),"JD")</f>
        <v>JD</v>
      </c>
      <c r="F8" s="20">
        <f>IFERROR(__xludf.DUMMYFUNCTION("""COMPUTED_VALUE"""),45876.0)</f>
        <v>45876</v>
      </c>
      <c r="G8" s="19" t="str">
        <f>IFERROR(__xludf.DUMMYFUNCTION("""COMPUTED_VALUE"""),"Bluebird")</f>
        <v>Bluebird</v>
      </c>
      <c r="H8" s="20">
        <f>IFERROR(__xludf.DUMMYFUNCTION("""COMPUTED_VALUE"""),45876.0)</f>
        <v>45876</v>
      </c>
      <c r="I8" s="20">
        <f>IFERROR(__xludf.DUMMYFUNCTION("""COMPUTED_VALUE"""),45868.5069280787)</f>
        <v>45868.50693</v>
      </c>
      <c r="J8" s="27">
        <f>IFERROR(__xludf.DUMMYFUNCTION("""COMPUTED_VALUE"""),45868.510857939815)</f>
        <v>45868.51086</v>
      </c>
      <c r="K8" s="19"/>
      <c r="L8" s="27">
        <f>IFERROR(__xludf.DUMMYFUNCTION("""COMPUTED_VALUE"""),45868.509198472224)</f>
        <v>45868.5092</v>
      </c>
      <c r="M8" s="27">
        <f>IFERROR(__xludf.DUMMYFUNCTION("""COMPUTED_VALUE"""),45868.50902701389)</f>
        <v>45868.50903</v>
      </c>
      <c r="N8" s="27">
        <f>IFERROR(__xludf.DUMMYFUNCTION("""COMPUTED_VALUE"""),45868.5093472338)</f>
        <v>45868.50935</v>
      </c>
      <c r="O8" s="27">
        <f>IFERROR(__xludf.DUMMYFUNCTION("""COMPUTED_VALUE"""),45868.509892789356)</f>
        <v>45868.50989</v>
      </c>
      <c r="P8" s="19"/>
      <c r="Q8" s="19"/>
      <c r="R8" s="27"/>
      <c r="S8" s="19" t="str">
        <f>IFERROR(__xludf.DUMMYFUNCTION("""COMPUTED_VALUE"""),"Completed")</f>
        <v>Completed</v>
      </c>
      <c r="T8" s="28"/>
      <c r="U8" s="28">
        <f>IFERROR(__xludf.DUMMYFUNCTION("""COMPUTED_VALUE"""),45868.51295658565)</f>
        <v>45868.51296</v>
      </c>
      <c r="V8" s="29">
        <f>IFERROR(__xludf.DUMMYFUNCTION("""COMPUTED_VALUE"""),45874.0)</f>
        <v>45874</v>
      </c>
      <c r="W8" s="30">
        <f t="array" ref="W8">DATEDIF(T8, V8, "D")</f>
        <v>45874</v>
      </c>
      <c r="X8" s="30">
        <f t="shared" si="1"/>
        <v>45868</v>
      </c>
      <c r="Y8" s="24"/>
    </row>
    <row r="9" ht="16.5" hidden="1" customHeight="1">
      <c r="A9" s="19">
        <f>IFERROR(__xludf.DUMMYFUNCTION("""COMPUTED_VALUE"""),2.50730003E8)</f>
        <v>250730003</v>
      </c>
      <c r="B9" s="19" t="str">
        <f>IFERROR(__xludf.DUMMYFUNCTION("""COMPUTED_VALUE"""),"John")</f>
        <v>John</v>
      </c>
      <c r="C9" s="19" t="str">
        <f>IFERROR(__xludf.DUMMYFUNCTION("""COMPUTED_VALUE"""),"JD")</f>
        <v>JD</v>
      </c>
      <c r="D9" s="19" t="str">
        <f>IFERROR(__xludf.DUMMYFUNCTION("""COMPUTED_VALUE"""),"Doe")</f>
        <v>Doe</v>
      </c>
      <c r="E9" s="19" t="str">
        <f>IFERROR(__xludf.DUMMYFUNCTION("""COMPUTED_VALUE"""),"JD")</f>
        <v>JD</v>
      </c>
      <c r="F9" s="20">
        <f>IFERROR(__xludf.DUMMYFUNCTION("""COMPUTED_VALUE"""),45875.0)</f>
        <v>45875</v>
      </c>
      <c r="G9" s="19" t="str">
        <f>IFERROR(__xludf.DUMMYFUNCTION("""COMPUTED_VALUE"""),"Edmonton")</f>
        <v>Edmonton</v>
      </c>
      <c r="H9" s="20">
        <f>IFERROR(__xludf.DUMMYFUNCTION("""COMPUTED_VALUE"""),45875.0)</f>
        <v>45875</v>
      </c>
      <c r="I9" s="20">
        <f>IFERROR(__xludf.DUMMYFUNCTION("""COMPUTED_VALUE"""),45868.53345365741)</f>
        <v>45868.53345</v>
      </c>
      <c r="J9" s="27">
        <f>IFERROR(__xludf.DUMMYFUNCTION("""COMPUTED_VALUE"""),45868.534792418985)</f>
        <v>45868.53479</v>
      </c>
      <c r="K9" s="19"/>
      <c r="L9" s="27"/>
      <c r="M9" s="27">
        <f>IFERROR(__xludf.DUMMYFUNCTION("""COMPUTED_VALUE"""),45868.53482148148)</f>
        <v>45868.53482</v>
      </c>
      <c r="N9" s="27"/>
      <c r="O9" s="27">
        <f>IFERROR(__xludf.DUMMYFUNCTION("""COMPUTED_VALUE"""),45868.534762662035)</f>
        <v>45868.53476</v>
      </c>
      <c r="P9" s="19"/>
      <c r="Q9" s="19"/>
      <c r="R9" s="27"/>
      <c r="S9" s="19" t="str">
        <f>IFERROR(__xludf.DUMMYFUNCTION("""COMPUTED_VALUE"""),"Completed")</f>
        <v>Completed</v>
      </c>
      <c r="T9" s="28"/>
      <c r="U9" s="28">
        <f>IFERROR(__xludf.DUMMYFUNCTION("""COMPUTED_VALUE"""),45868.535658402776)</f>
        <v>45868.53566</v>
      </c>
      <c r="V9" s="29">
        <f>IFERROR(__xludf.DUMMYFUNCTION("""COMPUTED_VALUE"""),45874.0)</f>
        <v>45874</v>
      </c>
      <c r="W9" s="30">
        <f t="array" ref="W9">DATEDIF(T9, V9, "D")</f>
        <v>45874</v>
      </c>
      <c r="X9" s="30">
        <f t="shared" si="1"/>
        <v>45868</v>
      </c>
      <c r="Y9" s="24"/>
    </row>
    <row r="10" ht="16.5" hidden="1" customHeight="1">
      <c r="A10" s="19">
        <f>IFERROR(__xludf.DUMMYFUNCTION("""COMPUTED_VALUE"""),2.50730004E8)</f>
        <v>250730004</v>
      </c>
      <c r="B10" s="19" t="str">
        <f>IFERROR(__xludf.DUMMYFUNCTION("""COMPUTED_VALUE"""),"John")</f>
        <v>John</v>
      </c>
      <c r="C10" s="19" t="str">
        <f>IFERROR(__xludf.DUMMYFUNCTION("""COMPUTED_VALUE"""),"JD")</f>
        <v>JD</v>
      </c>
      <c r="D10" s="19" t="str">
        <f>IFERROR(__xludf.DUMMYFUNCTION("""COMPUTED_VALUE"""),"Doe")</f>
        <v>Doe</v>
      </c>
      <c r="E10" s="19" t="str">
        <f>IFERROR(__xludf.DUMMYFUNCTION("""COMPUTED_VALUE"""),"JD")</f>
        <v>JD</v>
      </c>
      <c r="F10" s="20">
        <f>IFERROR(__xludf.DUMMYFUNCTION("""COMPUTED_VALUE"""),45877.0)</f>
        <v>45877</v>
      </c>
      <c r="G10" s="19" t="str">
        <f>IFERROR(__xludf.DUMMYFUNCTION("""COMPUTED_VALUE"""),"Edmonton")</f>
        <v>Edmonton</v>
      </c>
      <c r="H10" s="20">
        <f>IFERROR(__xludf.DUMMYFUNCTION("""COMPUTED_VALUE"""),45877.0)</f>
        <v>45877</v>
      </c>
      <c r="I10" s="20">
        <f>IFERROR(__xludf.DUMMYFUNCTION("""COMPUTED_VALUE"""),45868.54598755787)</f>
        <v>45868.54599</v>
      </c>
      <c r="J10" s="27">
        <f>IFERROR(__xludf.DUMMYFUNCTION("""COMPUTED_VALUE"""),45868.547487766205)</f>
        <v>45868.54749</v>
      </c>
      <c r="K10" s="19"/>
      <c r="L10" s="27">
        <f>IFERROR(__xludf.DUMMYFUNCTION("""COMPUTED_VALUE"""),45868.5472312037)</f>
        <v>45868.54723</v>
      </c>
      <c r="M10" s="27">
        <f>IFERROR(__xludf.DUMMYFUNCTION("""COMPUTED_VALUE"""),45868.54729369213)</f>
        <v>45868.54729</v>
      </c>
      <c r="N10" s="27">
        <f>IFERROR(__xludf.DUMMYFUNCTION("""COMPUTED_VALUE"""),45868.54726633102)</f>
        <v>45868.54727</v>
      </c>
      <c r="O10" s="27">
        <f>IFERROR(__xludf.DUMMYFUNCTION("""COMPUTED_VALUE"""),45868.547310497685)</f>
        <v>45868.54731</v>
      </c>
      <c r="P10" s="27">
        <f>IFERROR(__xludf.DUMMYFUNCTION("""COMPUTED_VALUE"""),45868.54654434028)</f>
        <v>45868.54654</v>
      </c>
      <c r="Q10" s="19"/>
      <c r="R10" s="27"/>
      <c r="S10" s="19" t="str">
        <f>IFERROR(__xludf.DUMMYFUNCTION("""COMPUTED_VALUE"""),"Completed")</f>
        <v>Completed</v>
      </c>
      <c r="T10" s="28"/>
      <c r="U10" s="28">
        <f>IFERROR(__xludf.DUMMYFUNCTION("""COMPUTED_VALUE"""),45868.549081087964)</f>
        <v>45868.54908</v>
      </c>
      <c r="V10" s="29">
        <f>IFERROR(__xludf.DUMMYFUNCTION("""COMPUTED_VALUE"""),45874.0)</f>
        <v>45874</v>
      </c>
      <c r="W10" s="30">
        <f t="array" ref="W10">DATEDIF(T10, V10, "D")</f>
        <v>45874</v>
      </c>
      <c r="X10" s="30">
        <f t="shared" si="1"/>
        <v>45868</v>
      </c>
      <c r="Y10" s="24"/>
    </row>
    <row r="11" ht="22.5" hidden="1" customHeight="1">
      <c r="A11" s="19">
        <f>IFERROR(__xludf.DUMMYFUNCTION("""COMPUTED_VALUE"""),2.50730005E8)</f>
        <v>250730005</v>
      </c>
      <c r="B11" s="19" t="str">
        <f>IFERROR(__xludf.DUMMYFUNCTION("""COMPUTED_VALUE"""),"John")</f>
        <v>John</v>
      </c>
      <c r="C11" s="19" t="str">
        <f>IFERROR(__xludf.DUMMYFUNCTION("""COMPUTED_VALUE"""),"JD")</f>
        <v>JD</v>
      </c>
      <c r="D11" s="19" t="str">
        <f>IFERROR(__xludf.DUMMYFUNCTION("""COMPUTED_VALUE"""),"Doe")</f>
        <v>Doe</v>
      </c>
      <c r="E11" s="19" t="str">
        <f>IFERROR(__xludf.DUMMYFUNCTION("""COMPUTED_VALUE"""),"JD")</f>
        <v>JD</v>
      </c>
      <c r="F11" s="20">
        <f>IFERROR(__xludf.DUMMYFUNCTION("""COMPUTED_VALUE"""),45874.0)</f>
        <v>45874</v>
      </c>
      <c r="G11" s="19" t="str">
        <f>IFERROR(__xludf.DUMMYFUNCTION("""COMPUTED_VALUE"""),"Bluebird")</f>
        <v>Bluebird</v>
      </c>
      <c r="H11" s="20">
        <f>IFERROR(__xludf.DUMMYFUNCTION("""COMPUTED_VALUE"""),45874.0)</f>
        <v>45874</v>
      </c>
      <c r="I11" s="20">
        <f>IFERROR(__xludf.DUMMYFUNCTION("""COMPUTED_VALUE"""),45868.64808284723)</f>
        <v>45868.64808</v>
      </c>
      <c r="J11" s="27">
        <f>IFERROR(__xludf.DUMMYFUNCTION("""COMPUTED_VALUE"""),45868.65063725694)</f>
        <v>45868.65064</v>
      </c>
      <c r="K11" s="19"/>
      <c r="L11" s="27">
        <f>IFERROR(__xludf.DUMMYFUNCTION("""COMPUTED_VALUE"""),45868.64911247685)</f>
        <v>45868.64911</v>
      </c>
      <c r="M11" s="27">
        <f>IFERROR(__xludf.DUMMYFUNCTION("""COMPUTED_VALUE"""),45868.65035748843)</f>
        <v>45868.65036</v>
      </c>
      <c r="N11" s="27">
        <f>IFERROR(__xludf.DUMMYFUNCTION("""COMPUTED_VALUE"""),45868.65032825232)</f>
        <v>45868.65033</v>
      </c>
      <c r="O11" s="27">
        <f>IFERROR(__xludf.DUMMYFUNCTION("""COMPUTED_VALUE"""),45868.650301076384)</f>
        <v>45868.6503</v>
      </c>
      <c r="P11" s="27">
        <f>IFERROR(__xludf.DUMMYFUNCTION("""COMPUTED_VALUE"""),45868.650272604165)</f>
        <v>45868.65027</v>
      </c>
      <c r="Q11" s="19"/>
      <c r="R11" s="27"/>
      <c r="S11" s="19" t="str">
        <f>IFERROR(__xludf.DUMMYFUNCTION("""COMPUTED_VALUE"""),"Completed")</f>
        <v>Completed</v>
      </c>
      <c r="T11" s="28"/>
      <c r="U11" s="28">
        <f>IFERROR(__xludf.DUMMYFUNCTION("""COMPUTED_VALUE"""),45868.65177681713)</f>
        <v>45868.65178</v>
      </c>
      <c r="V11" s="29">
        <f>IFERROR(__xludf.DUMMYFUNCTION("""COMPUTED_VALUE"""),45874.0)</f>
        <v>45874</v>
      </c>
      <c r="W11" s="30">
        <f t="array" ref="W11">DATEDIF(T11, V11, "D")</f>
        <v>45874</v>
      </c>
      <c r="X11" s="30">
        <f t="shared" si="1"/>
        <v>45868</v>
      </c>
      <c r="Y11" s="24"/>
    </row>
    <row r="12" ht="22.5" hidden="1" customHeight="1">
      <c r="A12" s="19">
        <f>IFERROR(__xludf.DUMMYFUNCTION("""COMPUTED_VALUE"""),2.50805002E8)</f>
        <v>250805002</v>
      </c>
      <c r="B12" s="19" t="str">
        <f>IFERROR(__xludf.DUMMYFUNCTION("""COMPUTED_VALUE"""),"John")</f>
        <v>John</v>
      </c>
      <c r="C12" s="19" t="str">
        <f>IFERROR(__xludf.DUMMYFUNCTION("""COMPUTED_VALUE"""),"JD")</f>
        <v>JD</v>
      </c>
      <c r="D12" s="19" t="str">
        <f>IFERROR(__xludf.DUMMYFUNCTION("""COMPUTED_VALUE"""),"Doe")</f>
        <v>Doe</v>
      </c>
      <c r="E12" s="19" t="str">
        <f>IFERROR(__xludf.DUMMYFUNCTION("""COMPUTED_VALUE"""),"JD")</f>
        <v>JD</v>
      </c>
      <c r="F12" s="20">
        <f>IFERROR(__xludf.DUMMYFUNCTION("""COMPUTED_VALUE"""),45881.0)</f>
        <v>45881</v>
      </c>
      <c r="G12" s="19" t="str">
        <f>IFERROR(__xludf.DUMMYFUNCTION("""COMPUTED_VALUE"""),"Bluebird")</f>
        <v>Bluebird</v>
      </c>
      <c r="H12" s="20">
        <f>IFERROR(__xludf.DUMMYFUNCTION("""COMPUTED_VALUE"""),45881.0)</f>
        <v>45881</v>
      </c>
      <c r="I12" s="20">
        <f>IFERROR(__xludf.DUMMYFUNCTION("""COMPUTED_VALUE"""),45874.509130543986)</f>
        <v>45874.50913</v>
      </c>
      <c r="J12" s="27">
        <f>IFERROR(__xludf.DUMMYFUNCTION("""COMPUTED_VALUE"""),45874.51171849537)</f>
        <v>45874.51172</v>
      </c>
      <c r="K12" s="19"/>
      <c r="L12" s="27">
        <f>IFERROR(__xludf.DUMMYFUNCTION("""COMPUTED_VALUE"""),45874.51092398148)</f>
        <v>45874.51092</v>
      </c>
      <c r="M12" s="27">
        <f>IFERROR(__xludf.DUMMYFUNCTION("""COMPUTED_VALUE"""),45874.51084113426)</f>
        <v>45874.51084</v>
      </c>
      <c r="N12" s="27">
        <f>IFERROR(__xludf.DUMMYFUNCTION("""COMPUTED_VALUE"""),45874.5108705787)</f>
        <v>45874.51087</v>
      </c>
      <c r="O12" s="27">
        <f>IFERROR(__xludf.DUMMYFUNCTION("""COMPUTED_VALUE"""),45874.51057351852)</f>
        <v>45874.51057</v>
      </c>
      <c r="P12" s="27">
        <f>IFERROR(__xludf.DUMMYFUNCTION("""COMPUTED_VALUE"""),45874.51074017361)</f>
        <v>45874.51074</v>
      </c>
      <c r="Q12" s="19"/>
      <c r="R12" s="27"/>
      <c r="S12" s="19" t="str">
        <f>IFERROR(__xludf.DUMMYFUNCTION("""COMPUTED_VALUE"""),"Completed")</f>
        <v>Completed</v>
      </c>
      <c r="T12" s="28"/>
      <c r="U12" s="28">
        <f>IFERROR(__xludf.DUMMYFUNCTION("""COMPUTED_VALUE"""),45874.513895462966)</f>
        <v>45874.5139</v>
      </c>
      <c r="V12" s="29">
        <f>IFERROR(__xludf.DUMMYFUNCTION("""COMPUTED_VALUE"""),45880.0)</f>
        <v>45880</v>
      </c>
      <c r="W12" s="30">
        <f t="array" ref="W12">DATEDIF(T12, V12, "D")</f>
        <v>45880</v>
      </c>
      <c r="X12" s="30">
        <f t="shared" si="1"/>
        <v>45874</v>
      </c>
      <c r="Y12" s="24"/>
    </row>
    <row r="13" ht="22.5" hidden="1" customHeight="1">
      <c r="A13" s="19">
        <f>IFERROR(__xludf.DUMMYFUNCTION("""COMPUTED_VALUE"""),2.50805006E8)</f>
        <v>250805006</v>
      </c>
      <c r="B13" s="19" t="str">
        <f>IFERROR(__xludf.DUMMYFUNCTION("""COMPUTED_VALUE"""),"John")</f>
        <v>John</v>
      </c>
      <c r="C13" s="19" t="str">
        <f>IFERROR(__xludf.DUMMYFUNCTION("""COMPUTED_VALUE"""),"JD")</f>
        <v>JD</v>
      </c>
      <c r="D13" s="19" t="str">
        <f>IFERROR(__xludf.DUMMYFUNCTION("""COMPUTED_VALUE"""),"Doe")</f>
        <v>Doe</v>
      </c>
      <c r="E13" s="19" t="str">
        <f>IFERROR(__xludf.DUMMYFUNCTION("""COMPUTED_VALUE"""),"JD")</f>
        <v>JD</v>
      </c>
      <c r="F13" s="20">
        <f>IFERROR(__xludf.DUMMYFUNCTION("""COMPUTED_VALUE"""),45889.0)</f>
        <v>45889</v>
      </c>
      <c r="G13" s="19" t="str">
        <f>IFERROR(__xludf.DUMMYFUNCTION("""COMPUTED_VALUE"""),"Decostar")</f>
        <v>Decostar</v>
      </c>
      <c r="H13" s="20">
        <f>IFERROR(__xludf.DUMMYFUNCTION("""COMPUTED_VALUE"""),45889.0)</f>
        <v>45889</v>
      </c>
      <c r="I13" s="20">
        <f>IFERROR(__xludf.DUMMYFUNCTION("""COMPUTED_VALUE"""),45874.62465240741)</f>
        <v>45874.62465</v>
      </c>
      <c r="J13" s="27">
        <f>IFERROR(__xludf.DUMMYFUNCTION("""COMPUTED_VALUE"""),45874.62547972222)</f>
        <v>45874.62548</v>
      </c>
      <c r="K13" s="19"/>
      <c r="L13" s="27">
        <f>IFERROR(__xludf.DUMMYFUNCTION("""COMPUTED_VALUE"""),45874.625566608796)</f>
        <v>45874.62557</v>
      </c>
      <c r="M13" s="27"/>
      <c r="N13" s="27"/>
      <c r="O13" s="27"/>
      <c r="P13" s="27"/>
      <c r="Q13" s="19"/>
      <c r="R13" s="27">
        <f>IFERROR(__xludf.DUMMYFUNCTION("""COMPUTED_VALUE"""),45874.62554165509)</f>
        <v>45874.62554</v>
      </c>
      <c r="S13" s="19" t="str">
        <f>IFERROR(__xludf.DUMMYFUNCTION("""COMPUTED_VALUE"""),"Completed")</f>
        <v>Completed</v>
      </c>
      <c r="T13" s="28"/>
      <c r="U13" s="28">
        <f>IFERROR(__xludf.DUMMYFUNCTION("""COMPUTED_VALUE"""),45874.625547800926)</f>
        <v>45874.62555</v>
      </c>
      <c r="V13" s="29">
        <f>IFERROR(__xludf.DUMMYFUNCTION("""COMPUTED_VALUE"""),45880.0)</f>
        <v>45880</v>
      </c>
      <c r="W13" s="30">
        <f t="array" ref="W13">DATEDIF(T13, V13, "D")</f>
        <v>45880</v>
      </c>
      <c r="X13" s="30">
        <f t="shared" si="1"/>
        <v>45874</v>
      </c>
      <c r="Y13" s="24"/>
    </row>
    <row r="14" ht="22.5" hidden="1" customHeight="1">
      <c r="A14" s="19">
        <f>IFERROR(__xludf.DUMMYFUNCTION("""COMPUTED_VALUE"""),2.50805007E8)</f>
        <v>250805007</v>
      </c>
      <c r="B14" s="19" t="str">
        <f>IFERROR(__xludf.DUMMYFUNCTION("""COMPUTED_VALUE"""),"John")</f>
        <v>John</v>
      </c>
      <c r="C14" s="19" t="str">
        <f>IFERROR(__xludf.DUMMYFUNCTION("""COMPUTED_VALUE"""),"JD")</f>
        <v>JD</v>
      </c>
      <c r="D14" s="19" t="str">
        <f>IFERROR(__xludf.DUMMYFUNCTION("""COMPUTED_VALUE"""),"Doe")</f>
        <v>Doe</v>
      </c>
      <c r="E14" s="19"/>
      <c r="F14" s="20">
        <f>IFERROR(__xludf.DUMMYFUNCTION("""COMPUTED_VALUE"""),45883.0)</f>
        <v>45883</v>
      </c>
      <c r="G14" s="19" t="str">
        <f>IFERROR(__xludf.DUMMYFUNCTION("""COMPUTED_VALUE"""),"Decostar")</f>
        <v>Decostar</v>
      </c>
      <c r="H14" s="20">
        <f>IFERROR(__xludf.DUMMYFUNCTION("""COMPUTED_VALUE"""),45883.0)</f>
        <v>45883</v>
      </c>
      <c r="I14" s="20">
        <f>IFERROR(__xludf.DUMMYFUNCTION("""COMPUTED_VALUE"""),45874.65167400463)</f>
        <v>45874.65167</v>
      </c>
      <c r="J14" s="27">
        <f>IFERROR(__xludf.DUMMYFUNCTION("""COMPUTED_VALUE"""),45874.65207931713)</f>
        <v>45874.65208</v>
      </c>
      <c r="K14" s="19"/>
      <c r="L14" s="27"/>
      <c r="M14" s="27"/>
      <c r="N14" s="27"/>
      <c r="O14" s="27"/>
      <c r="P14" s="27"/>
      <c r="Q14" s="19"/>
      <c r="R14" s="27"/>
      <c r="S14" s="19" t="str">
        <f>IFERROR(__xludf.DUMMYFUNCTION("""COMPUTED_VALUE"""),"Completed")</f>
        <v>Completed</v>
      </c>
      <c r="T14" s="28"/>
      <c r="U14" s="28">
        <f>IFERROR(__xludf.DUMMYFUNCTION("""COMPUTED_VALUE"""),45874.65214825231)</f>
        <v>45874.65215</v>
      </c>
      <c r="V14" s="29">
        <f>IFERROR(__xludf.DUMMYFUNCTION("""COMPUTED_VALUE"""),45880.0)</f>
        <v>45880</v>
      </c>
      <c r="W14" s="30">
        <f t="array" ref="W14">DATEDIF(T14, V14, "D")</f>
        <v>45880</v>
      </c>
      <c r="X14" s="30">
        <f t="shared" si="1"/>
        <v>45874</v>
      </c>
      <c r="Y14" s="24"/>
    </row>
    <row r="15" ht="22.5" hidden="1" customHeight="1">
      <c r="A15" s="19">
        <f>IFERROR(__xludf.DUMMYFUNCTION("""COMPUTED_VALUE"""),2.50806001E8)</f>
        <v>250806001</v>
      </c>
      <c r="B15" s="19" t="str">
        <f>IFERROR(__xludf.DUMMYFUNCTION("""COMPUTED_VALUE"""),"John")</f>
        <v>John</v>
      </c>
      <c r="C15" s="19"/>
      <c r="D15" s="19" t="str">
        <f>IFERROR(__xludf.DUMMYFUNCTION("""COMPUTED_VALUE"""),"Doe")</f>
        <v>Doe</v>
      </c>
      <c r="E15" s="19"/>
      <c r="F15" s="20">
        <f>IFERROR(__xludf.DUMMYFUNCTION("""COMPUTED_VALUE"""),45904.0)</f>
        <v>45904</v>
      </c>
      <c r="G15" s="19" t="str">
        <f>IFERROR(__xludf.DUMMYFUNCTION("""COMPUTED_VALUE"""),"Chrysler Windsor Paintshop")</f>
        <v>Chrysler Windsor Paintshop</v>
      </c>
      <c r="H15" s="20">
        <f>IFERROR(__xludf.DUMMYFUNCTION("""COMPUTED_VALUE"""),45904.0)</f>
        <v>45904</v>
      </c>
      <c r="I15" s="20">
        <f>IFERROR(__xludf.DUMMYFUNCTION("""COMPUTED_VALUE"""),45875.433671446764)</f>
        <v>45875.43367</v>
      </c>
      <c r="J15" s="27">
        <f>IFERROR(__xludf.DUMMYFUNCTION("""COMPUTED_VALUE"""),45875.43422855324)</f>
        <v>45875.43423</v>
      </c>
      <c r="K15" s="19"/>
      <c r="L15" s="27">
        <f>IFERROR(__xludf.DUMMYFUNCTION("""COMPUTED_VALUE"""),45875.434197939816)</f>
        <v>45875.4342</v>
      </c>
      <c r="M15" s="27"/>
      <c r="N15" s="27"/>
      <c r="O15" s="27"/>
      <c r="P15" s="27"/>
      <c r="Q15" s="19"/>
      <c r="R15" s="27"/>
      <c r="S15" s="19" t="str">
        <f>IFERROR(__xludf.DUMMYFUNCTION("""COMPUTED_VALUE"""),"Completed")</f>
        <v>Completed</v>
      </c>
      <c r="T15" s="28"/>
      <c r="U15" s="28">
        <f>IFERROR(__xludf.DUMMYFUNCTION("""COMPUTED_VALUE"""),45875.43430746528)</f>
        <v>45875.43431</v>
      </c>
      <c r="V15" s="29">
        <f>IFERROR(__xludf.DUMMYFUNCTION("""COMPUTED_VALUE"""),45895.0)</f>
        <v>45895</v>
      </c>
      <c r="W15" s="30">
        <f t="array" ref="W15">DATEDIF(T15, V15, "D")</f>
        <v>45895</v>
      </c>
      <c r="X15" s="30">
        <f t="shared" si="1"/>
        <v>45875</v>
      </c>
      <c r="Y15" s="24"/>
    </row>
    <row r="16" ht="22.5" customHeight="1">
      <c r="A16" s="19">
        <f>IFERROR(__xludf.DUMMYFUNCTION("""COMPUTED_VALUE"""),2.50806002E8)</f>
        <v>250806002</v>
      </c>
      <c r="B16" s="19" t="str">
        <f>IFERROR(__xludf.DUMMYFUNCTION("""COMPUTED_VALUE"""),"John")</f>
        <v>John</v>
      </c>
      <c r="C16" s="19" t="str">
        <f>IFERROR(__xludf.DUMMYFUNCTION("""COMPUTED_VALUE"""),"JD")</f>
        <v>JD</v>
      </c>
      <c r="D16" s="19" t="str">
        <f>IFERROR(__xludf.DUMMYFUNCTION("""COMPUTED_VALUE"""),"Doe")</f>
        <v>Doe</v>
      </c>
      <c r="E16" s="19"/>
      <c r="F16" s="20">
        <f>IFERROR(__xludf.DUMMYFUNCTION("""COMPUTED_VALUE"""),45894.0)</f>
        <v>45894</v>
      </c>
      <c r="G16" s="19" t="str">
        <f>IFERROR(__xludf.DUMMYFUNCTION("""COMPUTED_VALUE"""),"Cost Variance - RSI")</f>
        <v>Cost Variance - RSI</v>
      </c>
      <c r="H16" s="20">
        <f>IFERROR(__xludf.DUMMYFUNCTION("""COMPUTED_VALUE"""),45894.0)</f>
        <v>45894</v>
      </c>
      <c r="I16" s="20">
        <f>IFERROR(__xludf.DUMMYFUNCTION("""COMPUTED_VALUE"""),45875.45813409722)</f>
        <v>45875.45813</v>
      </c>
      <c r="J16" s="27">
        <f>IFERROR(__xludf.DUMMYFUNCTION("""COMPUTED_VALUE"""),45875.46517614584)</f>
        <v>45875.46518</v>
      </c>
      <c r="K16" s="19"/>
      <c r="L16" s="27"/>
      <c r="M16" s="27"/>
      <c r="N16" s="27"/>
      <c r="O16" s="27"/>
      <c r="P16" s="27"/>
      <c r="Q16" s="19"/>
      <c r="R16" s="27"/>
      <c r="S16" s="19" t="str">
        <f>IFERROR(__xludf.DUMMYFUNCTION("""COMPUTED_VALUE"""),"Completed")</f>
        <v>Completed</v>
      </c>
      <c r="T16" s="28">
        <f>IFERROR(__xludf.DUMMYFUNCTION("""COMPUTED_VALUE"""),45875.456749398145)</f>
        <v>45875.45675</v>
      </c>
      <c r="U16" s="28">
        <f>IFERROR(__xludf.DUMMYFUNCTION("""COMPUTED_VALUE"""),45875.46526244213)</f>
        <v>45875.46526</v>
      </c>
      <c r="V16" s="29">
        <f>IFERROR(__xludf.DUMMYFUNCTION("""COMPUTED_VALUE"""),45891.0)</f>
        <v>45891</v>
      </c>
      <c r="W16" s="30">
        <f t="array" ref="W16">DATEDIF(T16, V16, "D")</f>
        <v>16</v>
      </c>
      <c r="X16" s="30">
        <f t="shared" si="1"/>
        <v>0</v>
      </c>
      <c r="Y16" s="24"/>
    </row>
    <row r="17" ht="22.5" customHeight="1">
      <c r="A17" s="19">
        <f>IFERROR(__xludf.DUMMYFUNCTION("""COMPUTED_VALUE"""),2.50806003E8)</f>
        <v>250806003</v>
      </c>
      <c r="B17" s="19" t="str">
        <f>IFERROR(__xludf.DUMMYFUNCTION("""COMPUTED_VALUE"""),"John")</f>
        <v>John</v>
      </c>
      <c r="C17" s="19" t="str">
        <f>IFERROR(__xludf.DUMMYFUNCTION("""COMPUTED_VALUE"""),"z")</f>
        <v>z</v>
      </c>
      <c r="D17" s="19" t="str">
        <f>IFERROR(__xludf.DUMMYFUNCTION("""COMPUTED_VALUE"""),"Doe")</f>
        <v>Doe</v>
      </c>
      <c r="E17" s="19" t="str">
        <f>IFERROR(__xludf.DUMMYFUNCTION("""COMPUTED_VALUE"""),"JZ")</f>
        <v>JZ</v>
      </c>
      <c r="F17" s="20">
        <f>IFERROR(__xludf.DUMMYFUNCTION("""COMPUTED_VALUE"""),45896.0)</f>
        <v>45896</v>
      </c>
      <c r="G17" s="19" t="str">
        <f>IFERROR(__xludf.DUMMYFUNCTION("""COMPUTED_VALUE"""),"Finance")</f>
        <v>Finance</v>
      </c>
      <c r="H17" s="20">
        <f>IFERROR(__xludf.DUMMYFUNCTION("""COMPUTED_VALUE"""),45896.0)</f>
        <v>45896</v>
      </c>
      <c r="I17" s="20">
        <f>IFERROR(__xludf.DUMMYFUNCTION("""COMPUTED_VALUE"""),45875.46891568287)</f>
        <v>45875.46892</v>
      </c>
      <c r="J17" s="27">
        <f>IFERROR(__xludf.DUMMYFUNCTION("""COMPUTED_VALUE"""),45875.47072511574)</f>
        <v>45875.47073</v>
      </c>
      <c r="K17" s="19"/>
      <c r="L17" s="27">
        <f>IFERROR(__xludf.DUMMYFUNCTION("""COMPUTED_VALUE"""),45875.47094853009)</f>
        <v>45875.47095</v>
      </c>
      <c r="M17" s="27">
        <f>IFERROR(__xludf.DUMMYFUNCTION("""COMPUTED_VALUE"""),45875.470882696754)</f>
        <v>45875.47088</v>
      </c>
      <c r="N17" s="27">
        <f>IFERROR(__xludf.DUMMYFUNCTION("""COMPUTED_VALUE"""),45875.47084144676)</f>
        <v>45875.47084</v>
      </c>
      <c r="O17" s="27">
        <f>IFERROR(__xludf.DUMMYFUNCTION("""COMPUTED_VALUE"""),45875.470895810184)</f>
        <v>45875.4709</v>
      </c>
      <c r="P17" s="27">
        <f>IFERROR(__xludf.DUMMYFUNCTION("""COMPUTED_VALUE"""),45875.47092420139)</f>
        <v>45875.47092</v>
      </c>
      <c r="Q17" s="19"/>
      <c r="R17" s="27">
        <f>IFERROR(__xludf.DUMMYFUNCTION("""COMPUTED_VALUE"""),45875.47098049769)</f>
        <v>45875.47098</v>
      </c>
      <c r="S17" s="19" t="str">
        <f>IFERROR(__xludf.DUMMYFUNCTION("""COMPUTED_VALUE"""),"Completed")</f>
        <v>Completed</v>
      </c>
      <c r="T17" s="28">
        <f>IFERROR(__xludf.DUMMYFUNCTION("""COMPUTED_VALUE"""),45875.468286261574)</f>
        <v>45875.46829</v>
      </c>
      <c r="U17" s="28">
        <f>IFERROR(__xludf.DUMMYFUNCTION("""COMPUTED_VALUE"""),45875.47081119213)</f>
        <v>45875.47081</v>
      </c>
      <c r="V17" s="29">
        <f>IFERROR(__xludf.DUMMYFUNCTION("""COMPUTED_VALUE"""),45894.0)</f>
        <v>45894</v>
      </c>
      <c r="W17" s="30">
        <f t="array" ref="W17">DATEDIF(T17, V17, "D")</f>
        <v>19</v>
      </c>
      <c r="X17" s="30">
        <f t="shared" si="1"/>
        <v>0</v>
      </c>
      <c r="Y17" s="24"/>
    </row>
    <row r="18" ht="22.5" customHeight="1">
      <c r="A18" s="19">
        <f>IFERROR(__xludf.DUMMYFUNCTION("""COMPUTED_VALUE"""),2.50806004E8)</f>
        <v>250806004</v>
      </c>
      <c r="B18" s="19" t="str">
        <f>IFERROR(__xludf.DUMMYFUNCTION("""COMPUTED_VALUE"""),"John")</f>
        <v>John</v>
      </c>
      <c r="C18" s="19" t="str">
        <f>IFERROR(__xludf.DUMMYFUNCTION("""COMPUTED_VALUE"""),"JD")</f>
        <v>JD</v>
      </c>
      <c r="D18" s="19" t="str">
        <f>IFERROR(__xludf.DUMMYFUNCTION("""COMPUTED_VALUE"""),"Doe")</f>
        <v>Doe</v>
      </c>
      <c r="E18" s="19" t="str">
        <f>IFERROR(__xludf.DUMMYFUNCTION("""COMPUTED_VALUE"""),"JD")</f>
        <v>JD</v>
      </c>
      <c r="F18" s="20">
        <f>IFERROR(__xludf.DUMMYFUNCTION("""COMPUTED_VALUE"""),45889.0)</f>
        <v>45889</v>
      </c>
      <c r="G18" s="19" t="str">
        <f>IFERROR(__xludf.DUMMYFUNCTION("""COMPUTED_VALUE"""),"GM Oshawa Assembly")</f>
        <v>GM Oshawa Assembly</v>
      </c>
      <c r="H18" s="20">
        <f>IFERROR(__xludf.DUMMYFUNCTION("""COMPUTED_VALUE"""),45889.0)</f>
        <v>45889</v>
      </c>
      <c r="I18" s="20">
        <f>IFERROR(__xludf.DUMMYFUNCTION("""COMPUTED_VALUE"""),45875.502480173614)</f>
        <v>45875.50248</v>
      </c>
      <c r="J18" s="27">
        <f>IFERROR(__xludf.DUMMYFUNCTION("""COMPUTED_VALUE"""),45875.5027671875)</f>
        <v>45875.50277</v>
      </c>
      <c r="K18" s="19"/>
      <c r="L18" s="27">
        <f>IFERROR(__xludf.DUMMYFUNCTION("""COMPUTED_VALUE"""),45875.50262621528)</f>
        <v>45875.50263</v>
      </c>
      <c r="M18" s="27"/>
      <c r="N18" s="27"/>
      <c r="O18" s="27"/>
      <c r="P18" s="27">
        <f>IFERROR(__xludf.DUMMYFUNCTION("""COMPUTED_VALUE"""),45875.50257657407)</f>
        <v>45875.50258</v>
      </c>
      <c r="Q18" s="19"/>
      <c r="R18" s="27"/>
      <c r="S18" s="19" t="str">
        <f>IFERROR(__xludf.DUMMYFUNCTION("""COMPUTED_VALUE"""),"Completed")</f>
        <v>Completed</v>
      </c>
      <c r="T18" s="28">
        <f>IFERROR(__xludf.DUMMYFUNCTION("""COMPUTED_VALUE"""),45875.500882002314)</f>
        <v>45875.50088</v>
      </c>
      <c r="U18" s="28">
        <f>IFERROR(__xludf.DUMMYFUNCTION("""COMPUTED_VALUE"""),45875.504315115744)</f>
        <v>45875.50432</v>
      </c>
      <c r="V18" s="29">
        <f>IFERROR(__xludf.DUMMYFUNCTION("""COMPUTED_VALUE"""),45888.0)</f>
        <v>45888</v>
      </c>
      <c r="W18" s="30">
        <f t="array" ref="W18">DATEDIF(T18, V18, "D")</f>
        <v>13</v>
      </c>
      <c r="X18" s="30">
        <f t="shared" si="1"/>
        <v>0</v>
      </c>
      <c r="Y18" s="31"/>
    </row>
    <row r="19" ht="22.5" customHeight="1">
      <c r="A19" s="19">
        <f>IFERROR(__xludf.DUMMYFUNCTION("""COMPUTED_VALUE"""),2.50807001E8)</f>
        <v>250807001</v>
      </c>
      <c r="B19" s="19" t="str">
        <f>IFERROR(__xludf.DUMMYFUNCTION("""COMPUTED_VALUE"""),"John")</f>
        <v>John</v>
      </c>
      <c r="C19" s="19" t="str">
        <f>IFERROR(__xludf.DUMMYFUNCTION("""COMPUTED_VALUE"""),"JD")</f>
        <v>JD</v>
      </c>
      <c r="D19" s="19" t="str">
        <f>IFERROR(__xludf.DUMMYFUNCTION("""COMPUTED_VALUE"""),"Doe")</f>
        <v>Doe</v>
      </c>
      <c r="E19" s="19" t="str">
        <f>IFERROR(__xludf.DUMMYFUNCTION("""COMPUTED_VALUE"""),"JD")</f>
        <v>JD</v>
      </c>
      <c r="F19" s="20">
        <f>IFERROR(__xludf.DUMMYFUNCTION("""COMPUTED_VALUE"""),45877.0)</f>
        <v>45877</v>
      </c>
      <c r="G19" s="19" t="str">
        <f>IFERROR(__xludf.DUMMYFUNCTION("""COMPUTED_VALUE"""),"Decostar Industries")</f>
        <v>Decostar Industries</v>
      </c>
      <c r="H19" s="20">
        <f>IFERROR(__xludf.DUMMYFUNCTION("""COMPUTED_VALUE"""),45877.0)</f>
        <v>45877</v>
      </c>
      <c r="I19" s="20">
        <f>IFERROR(__xludf.DUMMYFUNCTION("""COMPUTED_VALUE"""),45876.51051707176)</f>
        <v>45876.51052</v>
      </c>
      <c r="J19" s="27">
        <f>IFERROR(__xludf.DUMMYFUNCTION("""COMPUTED_VALUE"""),45876.51196855324)</f>
        <v>45876.51197</v>
      </c>
      <c r="K19" s="19"/>
      <c r="L19" s="27">
        <f>IFERROR(__xludf.DUMMYFUNCTION("""COMPUTED_VALUE"""),45876.5120084838)</f>
        <v>45876.51201</v>
      </c>
      <c r="M19" s="27">
        <f>IFERROR(__xludf.DUMMYFUNCTION("""COMPUTED_VALUE"""),45876.511970023144)</f>
        <v>45876.51197</v>
      </c>
      <c r="N19" s="27">
        <f>IFERROR(__xludf.DUMMYFUNCTION("""COMPUTED_VALUE"""),45876.512122685184)</f>
        <v>45876.51212</v>
      </c>
      <c r="O19" s="27">
        <f>IFERROR(__xludf.DUMMYFUNCTION("""COMPUTED_VALUE"""),45876.51221608796)</f>
        <v>45876.51222</v>
      </c>
      <c r="P19" s="27">
        <f>IFERROR(__xludf.DUMMYFUNCTION("""COMPUTED_VALUE"""),45876.51217180556)</f>
        <v>45876.51217</v>
      </c>
      <c r="Q19" s="19"/>
      <c r="R19" s="27">
        <f>IFERROR(__xludf.DUMMYFUNCTION("""COMPUTED_VALUE"""),45876.512212800924)</f>
        <v>45876.51221</v>
      </c>
      <c r="S19" s="19" t="str">
        <f>IFERROR(__xludf.DUMMYFUNCTION("""COMPUTED_VALUE"""),"Completed")</f>
        <v>Completed</v>
      </c>
      <c r="T19" s="28">
        <f>IFERROR(__xludf.DUMMYFUNCTION("""COMPUTED_VALUE"""),45876.504982488426)</f>
        <v>45876.50498</v>
      </c>
      <c r="U19" s="28">
        <f>IFERROR(__xludf.DUMMYFUNCTION("""COMPUTED_VALUE"""),45876.513026898145)</f>
        <v>45876.51303</v>
      </c>
      <c r="V19" s="29">
        <f>IFERROR(__xludf.DUMMYFUNCTION("""COMPUTED_VALUE"""),45877.0)</f>
        <v>45877</v>
      </c>
      <c r="W19" s="30">
        <f t="array" ref="W19">DATEDIF(T19, V19, "D")</f>
        <v>1</v>
      </c>
      <c r="X19" s="30">
        <f t="shared" si="1"/>
        <v>0</v>
      </c>
      <c r="Y19" s="31"/>
    </row>
    <row r="20" ht="22.5" customHeight="1">
      <c r="A20" s="19">
        <f>IFERROR(__xludf.DUMMYFUNCTION("""COMPUTED_VALUE"""),2.50807002E8)</f>
        <v>250807002</v>
      </c>
      <c r="B20" s="19" t="str">
        <f>IFERROR(__xludf.DUMMYFUNCTION("""COMPUTED_VALUE"""),"John")</f>
        <v>John</v>
      </c>
      <c r="C20" s="19" t="str">
        <f>IFERROR(__xludf.DUMMYFUNCTION("""COMPUTED_VALUE"""),"JD")</f>
        <v>JD</v>
      </c>
      <c r="D20" s="19" t="str">
        <f>IFERROR(__xludf.DUMMYFUNCTION("""COMPUTED_VALUE"""),"Doe")</f>
        <v>Doe</v>
      </c>
      <c r="E20" s="19" t="str">
        <f>IFERROR(__xludf.DUMMYFUNCTION("""COMPUTED_VALUE"""),"JD")</f>
        <v>JD</v>
      </c>
      <c r="F20" s="20">
        <f>IFERROR(__xludf.DUMMYFUNCTION("""COMPUTED_VALUE"""),45881.0)</f>
        <v>45881</v>
      </c>
      <c r="G20" s="19" t="str">
        <f>IFERROR(__xludf.DUMMYFUNCTION("""COMPUTED_VALUE"""),"BMW Spartanburg Assembly")</f>
        <v>BMW Spartanburg Assembly</v>
      </c>
      <c r="H20" s="20">
        <f>IFERROR(__xludf.DUMMYFUNCTION("""COMPUTED_VALUE"""),45881.0)</f>
        <v>45881</v>
      </c>
      <c r="I20" s="20">
        <f>IFERROR(__xludf.DUMMYFUNCTION("""COMPUTED_VALUE"""),45876.569972881945)</f>
        <v>45876.56997</v>
      </c>
      <c r="J20" s="27">
        <f>IFERROR(__xludf.DUMMYFUNCTION("""COMPUTED_VALUE"""),45876.57631380787)</f>
        <v>45876.57631</v>
      </c>
      <c r="K20" s="19"/>
      <c r="L20" s="27">
        <f>IFERROR(__xludf.DUMMYFUNCTION("""COMPUTED_VALUE"""),45876.577114444444)</f>
        <v>45876.57711</v>
      </c>
      <c r="M20" s="27">
        <f>IFERROR(__xludf.DUMMYFUNCTION("""COMPUTED_VALUE"""),45876.577088425925)</f>
        <v>45876.57709</v>
      </c>
      <c r="N20" s="27">
        <f>IFERROR(__xludf.DUMMYFUNCTION("""COMPUTED_VALUE"""),45876.579044363425)</f>
        <v>45876.57904</v>
      </c>
      <c r="O20" s="27">
        <f>IFERROR(__xludf.DUMMYFUNCTION("""COMPUTED_VALUE"""),45876.579081828706)</f>
        <v>45876.57908</v>
      </c>
      <c r="P20" s="27">
        <f>IFERROR(__xludf.DUMMYFUNCTION("""COMPUTED_VALUE"""),45876.57910930556)</f>
        <v>45876.57911</v>
      </c>
      <c r="Q20" s="19"/>
      <c r="R20" s="27">
        <f>IFERROR(__xludf.DUMMYFUNCTION("""COMPUTED_VALUE"""),45876.579145868054)</f>
        <v>45876.57915</v>
      </c>
      <c r="S20" s="19" t="str">
        <f>IFERROR(__xludf.DUMMYFUNCTION("""COMPUTED_VALUE"""),"Completed")</f>
        <v>Completed</v>
      </c>
      <c r="T20" s="28">
        <f>IFERROR(__xludf.DUMMYFUNCTION("""COMPUTED_VALUE"""),45876.55894097222)</f>
        <v>45876.55894</v>
      </c>
      <c r="U20" s="28">
        <f>IFERROR(__xludf.DUMMYFUNCTION("""COMPUTED_VALUE"""),45876.586313541666)</f>
        <v>45876.58631</v>
      </c>
      <c r="V20" s="29">
        <f>IFERROR(__xludf.DUMMYFUNCTION("""COMPUTED_VALUE"""),45880.0)</f>
        <v>45880</v>
      </c>
      <c r="W20" s="30">
        <f t="array" ref="W20">DATEDIF(T20, V20, "D")</f>
        <v>4</v>
      </c>
      <c r="X20" s="30">
        <f t="shared" si="1"/>
        <v>0</v>
      </c>
      <c r="Y20" s="31"/>
    </row>
    <row r="21" ht="22.5" customHeight="1">
      <c r="A21" s="19">
        <f>IFERROR(__xludf.DUMMYFUNCTION("""COMPUTED_VALUE"""),2.50808007E8)</f>
        <v>250808007</v>
      </c>
      <c r="B21" s="19" t="str">
        <f>IFERROR(__xludf.DUMMYFUNCTION("""COMPUTED_VALUE"""),"John")</f>
        <v>John</v>
      </c>
      <c r="C21" s="19" t="str">
        <f>IFERROR(__xludf.DUMMYFUNCTION("""COMPUTED_VALUE"""),"JD")</f>
        <v>JD</v>
      </c>
      <c r="D21" s="19" t="str">
        <f>IFERROR(__xludf.DUMMYFUNCTION("""COMPUTED_VALUE"""),"Doe")</f>
        <v>Doe</v>
      </c>
      <c r="E21" s="19" t="str">
        <f>IFERROR(__xludf.DUMMYFUNCTION("""COMPUTED_VALUE"""),"JD")</f>
        <v>JD</v>
      </c>
      <c r="F21" s="20">
        <f>IFERROR(__xludf.DUMMYFUNCTION("""COMPUTED_VALUE"""),45896.0)</f>
        <v>45896</v>
      </c>
      <c r="G21" s="19" t="str">
        <f>IFERROR(__xludf.DUMMYFUNCTION("""COMPUTED_VALUE"""),"Burns MacDonald")</f>
        <v>Burns MacDonald</v>
      </c>
      <c r="H21" s="20">
        <f>IFERROR(__xludf.DUMMYFUNCTION("""COMPUTED_VALUE"""),45896.0)</f>
        <v>45896</v>
      </c>
      <c r="I21" s="20">
        <f>IFERROR(__xludf.DUMMYFUNCTION("""COMPUTED_VALUE"""),45877.48650564815)</f>
        <v>45877.48651</v>
      </c>
      <c r="J21" s="27">
        <f>IFERROR(__xludf.DUMMYFUNCTION("""COMPUTED_VALUE"""),45877.48773008102)</f>
        <v>45877.48773</v>
      </c>
      <c r="K21" s="19"/>
      <c r="L21" s="27"/>
      <c r="M21" s="27"/>
      <c r="N21" s="27">
        <f>IFERROR(__xludf.DUMMYFUNCTION("""COMPUTED_VALUE"""),45877.487574583334)</f>
        <v>45877.48757</v>
      </c>
      <c r="O21" s="27"/>
      <c r="P21" s="27">
        <f>IFERROR(__xludf.DUMMYFUNCTION("""COMPUTED_VALUE"""),45877.487574583334)</f>
        <v>45877.48757</v>
      </c>
      <c r="Q21" s="19"/>
      <c r="R21" s="27"/>
      <c r="S21" s="19" t="str">
        <f>IFERROR(__xludf.DUMMYFUNCTION("""COMPUTED_VALUE"""),"Completed")</f>
        <v>Completed</v>
      </c>
      <c r="T21" s="28"/>
      <c r="U21" s="28">
        <f>IFERROR(__xludf.DUMMYFUNCTION("""COMPUTED_VALUE"""),45877.48960327546)</f>
        <v>45877.4896</v>
      </c>
      <c r="V21" s="29">
        <f>IFERROR(__xludf.DUMMYFUNCTION("""COMPUTED_VALUE"""),45895.0)</f>
        <v>45895</v>
      </c>
      <c r="W21" s="30">
        <f t="array" ref="W21">DATEDIF(T21, V21, "D")</f>
        <v>45895</v>
      </c>
      <c r="X21" s="30">
        <f t="shared" si="1"/>
        <v>45877</v>
      </c>
      <c r="Y21" s="31"/>
    </row>
    <row r="22" ht="22.5" customHeight="1">
      <c r="A22" s="19">
        <f>IFERROR(__xludf.DUMMYFUNCTION("""COMPUTED_VALUE"""),2.5080801E8)</f>
        <v>250808010</v>
      </c>
      <c r="B22" s="19" t="str">
        <f>IFERROR(__xludf.DUMMYFUNCTION("""COMPUTED_VALUE"""),"John")</f>
        <v>John</v>
      </c>
      <c r="C22" s="19" t="str">
        <f>IFERROR(__xludf.DUMMYFUNCTION("""COMPUTED_VALUE"""),"JD")</f>
        <v>JD</v>
      </c>
      <c r="D22" s="19" t="str">
        <f>IFERROR(__xludf.DUMMYFUNCTION("""COMPUTED_VALUE"""),"Doe")</f>
        <v>Doe</v>
      </c>
      <c r="E22" s="19" t="str">
        <f>IFERROR(__xludf.DUMMYFUNCTION("""COMPUTED_VALUE"""),"JD")</f>
        <v>JD</v>
      </c>
      <c r="F22" s="20">
        <f>IFERROR(__xludf.DUMMYFUNCTION("""COMPUTED_VALUE"""),45897.0)</f>
        <v>45897</v>
      </c>
      <c r="G22" s="19" t="str">
        <f>IFERROR(__xludf.DUMMYFUNCTION("""COMPUTED_VALUE"""),"Chrysler Brampton GSO")</f>
        <v>Chrysler Brampton GSO</v>
      </c>
      <c r="H22" s="20">
        <f>IFERROR(__xludf.DUMMYFUNCTION("""COMPUTED_VALUE"""),45897.0)</f>
        <v>45897</v>
      </c>
      <c r="I22" s="20">
        <f>IFERROR(__xludf.DUMMYFUNCTION("""COMPUTED_VALUE"""),45877.52985348379)</f>
        <v>45877.52985</v>
      </c>
      <c r="J22" s="27">
        <f>IFERROR(__xludf.DUMMYFUNCTION("""COMPUTED_VALUE"""),45877.538640729166)</f>
        <v>45877.53864</v>
      </c>
      <c r="K22" s="19"/>
      <c r="L22" s="27"/>
      <c r="M22" s="27"/>
      <c r="N22" s="27"/>
      <c r="O22" s="27"/>
      <c r="P22" s="27"/>
      <c r="Q22" s="19"/>
      <c r="R22" s="27"/>
      <c r="S22" s="19" t="str">
        <f>IFERROR(__xludf.DUMMYFUNCTION("""COMPUTED_VALUE"""),"Completed")</f>
        <v>Completed</v>
      </c>
      <c r="T22" s="28"/>
      <c r="U22" s="28">
        <f>IFERROR(__xludf.DUMMYFUNCTION("""COMPUTED_VALUE"""),45877.54672288195)</f>
        <v>45877.54672</v>
      </c>
      <c r="V22" s="29">
        <f>IFERROR(__xludf.DUMMYFUNCTION("""COMPUTED_VALUE"""),45889.0)</f>
        <v>45889</v>
      </c>
      <c r="W22" s="30">
        <f t="array" ref="W22">DATEDIF(T22, V22, "D")</f>
        <v>45889</v>
      </c>
      <c r="X22" s="30">
        <f t="shared" si="1"/>
        <v>45877</v>
      </c>
      <c r="Y22" s="31"/>
    </row>
    <row r="23" ht="22.5" customHeight="1">
      <c r="A23" s="19">
        <f>IFERROR(__xludf.DUMMYFUNCTION("""COMPUTED_VALUE"""),2.50808011E8)</f>
        <v>250808011</v>
      </c>
      <c r="B23" s="19"/>
      <c r="C23" s="19"/>
      <c r="D23" s="19"/>
      <c r="E23" s="19"/>
      <c r="F23" s="20">
        <f>IFERROR(__xludf.DUMMYFUNCTION("""COMPUTED_VALUE"""),45896.0)</f>
        <v>45896</v>
      </c>
      <c r="G23" s="19" t="str">
        <f>IFERROR(__xludf.DUMMYFUNCTION("""COMPUTED_VALUE"""),"Toyota Burnaston")</f>
        <v>Toyota Burnaston</v>
      </c>
      <c r="H23" s="20">
        <f>IFERROR(__xludf.DUMMYFUNCTION("""COMPUTED_VALUE"""),45896.0)</f>
        <v>45896</v>
      </c>
      <c r="I23" s="20">
        <f>IFERROR(__xludf.DUMMYFUNCTION("""COMPUTED_VALUE"""),45877.55041444444)</f>
        <v>45877.55041</v>
      </c>
      <c r="J23" s="27">
        <f>IFERROR(__xludf.DUMMYFUNCTION("""COMPUTED_VALUE"""),45877.55845434028)</f>
        <v>45877.55845</v>
      </c>
      <c r="K23" s="19"/>
      <c r="L23" s="27"/>
      <c r="M23" s="27"/>
      <c r="N23" s="27"/>
      <c r="O23" s="27"/>
      <c r="P23" s="27"/>
      <c r="Q23" s="19"/>
      <c r="R23" s="27"/>
      <c r="S23" s="19" t="str">
        <f>IFERROR(__xludf.DUMMYFUNCTION("""COMPUTED_VALUE"""),"Completed")</f>
        <v>Completed</v>
      </c>
      <c r="T23" s="28"/>
      <c r="U23" s="28">
        <f>IFERROR(__xludf.DUMMYFUNCTION("""COMPUTED_VALUE"""),45877.558883101854)</f>
        <v>45877.55888</v>
      </c>
      <c r="V23" s="29">
        <f>IFERROR(__xludf.DUMMYFUNCTION("""COMPUTED_VALUE"""),45888.0)</f>
        <v>45888</v>
      </c>
      <c r="W23" s="30">
        <f t="array" ref="W23">DATEDIF(T23, V23, "D")</f>
        <v>45888</v>
      </c>
      <c r="X23" s="30">
        <f t="shared" si="1"/>
        <v>45877</v>
      </c>
      <c r="Y23" s="31"/>
    </row>
    <row r="24" ht="22.5" customHeight="1">
      <c r="A24" s="19">
        <f>IFERROR(__xludf.DUMMYFUNCTION("""COMPUTED_VALUE"""),2.50811001E8)</f>
        <v>250811001</v>
      </c>
      <c r="B24" s="19" t="str">
        <f>IFERROR(__xludf.DUMMYFUNCTION("""COMPUTED_VALUE"""),"John")</f>
        <v>John</v>
      </c>
      <c r="C24" s="19" t="str">
        <f>IFERROR(__xludf.DUMMYFUNCTION("""COMPUTED_VALUE"""),"JD")</f>
        <v>JD</v>
      </c>
      <c r="D24" s="19" t="str">
        <f>IFERROR(__xludf.DUMMYFUNCTION("""COMPUTED_VALUE"""),"Doe")</f>
        <v>Doe</v>
      </c>
      <c r="E24" s="19" t="str">
        <f>IFERROR(__xludf.DUMMYFUNCTION("""COMPUTED_VALUE"""),"JD")</f>
        <v>JD</v>
      </c>
      <c r="F24" s="20">
        <f>IFERROR(__xludf.DUMMYFUNCTION("""COMPUTED_VALUE"""),45888.0)</f>
        <v>45888</v>
      </c>
      <c r="G24" s="19" t="str">
        <f>IFERROR(__xludf.DUMMYFUNCTION("""COMPUTED_VALUE"""),"GM Oshawa PPS")</f>
        <v>GM Oshawa PPS</v>
      </c>
      <c r="H24" s="20">
        <f>IFERROR(__xludf.DUMMYFUNCTION("""COMPUTED_VALUE"""),45888.0)</f>
        <v>45888</v>
      </c>
      <c r="I24" s="20">
        <f>IFERROR(__xludf.DUMMYFUNCTION("""COMPUTED_VALUE"""),45880.66227163194)</f>
        <v>45880.66227</v>
      </c>
      <c r="J24" s="27">
        <f>IFERROR(__xludf.DUMMYFUNCTION("""COMPUTED_VALUE"""),45880.66285303241)</f>
        <v>45880.66285</v>
      </c>
      <c r="K24" s="19"/>
      <c r="L24" s="27"/>
      <c r="M24" s="27"/>
      <c r="N24" s="27"/>
      <c r="O24" s="27"/>
      <c r="P24" s="27"/>
      <c r="Q24" s="19"/>
      <c r="R24" s="27"/>
      <c r="S24" s="19" t="str">
        <f>IFERROR(__xludf.DUMMYFUNCTION("""COMPUTED_VALUE"""),"Completed")</f>
        <v>Completed</v>
      </c>
      <c r="T24" s="28"/>
      <c r="U24" s="28">
        <f>IFERROR(__xludf.DUMMYFUNCTION("""COMPUTED_VALUE"""),45880.66310542824)</f>
        <v>45880.66311</v>
      </c>
      <c r="V24" s="29">
        <f>IFERROR(__xludf.DUMMYFUNCTION("""COMPUTED_VALUE"""),45887.0)</f>
        <v>45887</v>
      </c>
      <c r="W24" s="30">
        <f t="array" ref="W24">DATEDIF(T24, V24, "D")</f>
        <v>45887</v>
      </c>
      <c r="X24" s="30">
        <f t="shared" si="1"/>
        <v>45880</v>
      </c>
      <c r="Y24" s="31"/>
    </row>
    <row r="25" ht="22.5" customHeight="1">
      <c r="A25" s="19">
        <f>IFERROR(__xludf.DUMMYFUNCTION("""COMPUTED_VALUE"""),2.50811003E8)</f>
        <v>250811003</v>
      </c>
      <c r="B25" s="19" t="str">
        <f>IFERROR(__xludf.DUMMYFUNCTION("""COMPUTED_VALUE"""),"Angie")</f>
        <v>Angie</v>
      </c>
      <c r="C25" s="19" t="str">
        <f>IFERROR(__xludf.DUMMYFUNCTION("""COMPUTED_VALUE"""),"O")</f>
        <v>O</v>
      </c>
      <c r="D25" s="19" t="str">
        <f>IFERROR(__xludf.DUMMYFUNCTION("""COMPUTED_VALUE"""),"O'Plasty")</f>
        <v>O'Plasty</v>
      </c>
      <c r="E25" s="19"/>
      <c r="F25" s="20"/>
      <c r="G25" s="19" t="str">
        <f>IFERROR(__xludf.DUMMYFUNCTION("""COMPUTED_VALUE"""),"ArcelorMittal")</f>
        <v>ArcelorMittal</v>
      </c>
      <c r="H25" s="20"/>
      <c r="I25" s="20">
        <f>IFERROR(__xludf.DUMMYFUNCTION("""COMPUTED_VALUE"""),45880.69184714121)</f>
        <v>45880.69185</v>
      </c>
      <c r="J25" s="27">
        <f>IFERROR(__xludf.DUMMYFUNCTION("""COMPUTED_VALUE"""),45880.692413530094)</f>
        <v>45880.69241</v>
      </c>
      <c r="K25" s="19"/>
      <c r="L25" s="27"/>
      <c r="M25" s="27"/>
      <c r="N25" s="27"/>
      <c r="O25" s="27"/>
      <c r="P25" s="27"/>
      <c r="Q25" s="19"/>
      <c r="R25" s="27"/>
      <c r="S25" s="19" t="str">
        <f>IFERROR(__xludf.DUMMYFUNCTION("""COMPUTED_VALUE"""),"Completed")</f>
        <v>Completed</v>
      </c>
      <c r="T25" s="28"/>
      <c r="U25" s="28">
        <f>IFERROR(__xludf.DUMMYFUNCTION("""COMPUTED_VALUE"""),45880.694000358795)</f>
        <v>45880.694</v>
      </c>
      <c r="V25" s="29">
        <f>IFERROR(__xludf.DUMMYFUNCTION("""COMPUTED_VALUE"""),45880.0)</f>
        <v>45880</v>
      </c>
      <c r="W25" s="30">
        <f t="array" ref="W25">DATEDIF(T25, V25, "D")</f>
        <v>45880</v>
      </c>
      <c r="X25" s="30">
        <f t="shared" si="1"/>
        <v>45880</v>
      </c>
      <c r="Y25" s="31"/>
    </row>
    <row r="26" ht="22.5" customHeight="1">
      <c r="A26" s="19">
        <f>IFERROR(__xludf.DUMMYFUNCTION("""COMPUTED_VALUE"""),2.50811004E8)</f>
        <v>250811004</v>
      </c>
      <c r="B26" s="19" t="str">
        <f>IFERROR(__xludf.DUMMYFUNCTION("""COMPUTED_VALUE"""),"John")</f>
        <v>John</v>
      </c>
      <c r="C26" s="19"/>
      <c r="D26" s="19" t="str">
        <f>IFERROR(__xludf.DUMMYFUNCTION("""COMPUTED_VALUE"""),"O'Plasty")</f>
        <v>O'Plasty</v>
      </c>
      <c r="E26" s="19"/>
      <c r="F26" s="20">
        <f>IFERROR(__xludf.DUMMYFUNCTION("""COMPUTED_VALUE"""),45897.0)</f>
        <v>45897</v>
      </c>
      <c r="G26" s="19" t="str">
        <f>IFERROR(__xludf.DUMMYFUNCTION("""COMPUTED_VALUE"""),"Chrysler Brampton")</f>
        <v>Chrysler Brampton</v>
      </c>
      <c r="H26" s="20">
        <f>IFERROR(__xludf.DUMMYFUNCTION("""COMPUTED_VALUE"""),45897.0)</f>
        <v>45897</v>
      </c>
      <c r="I26" s="20">
        <f>IFERROR(__xludf.DUMMYFUNCTION("""COMPUTED_VALUE"""),45880.70466894676)</f>
        <v>45880.70467</v>
      </c>
      <c r="J26" s="27">
        <f>IFERROR(__xludf.DUMMYFUNCTION("""COMPUTED_VALUE"""),45880.70676043982)</f>
        <v>45880.70676</v>
      </c>
      <c r="K26" s="19"/>
      <c r="L26" s="27">
        <f>IFERROR(__xludf.DUMMYFUNCTION("""COMPUTED_VALUE"""),45880.70668800926)</f>
        <v>45880.70669</v>
      </c>
      <c r="M26" s="27"/>
      <c r="N26" s="27"/>
      <c r="O26" s="27"/>
      <c r="P26" s="27"/>
      <c r="Q26" s="19"/>
      <c r="R26" s="27"/>
      <c r="S26" s="19" t="str">
        <f>IFERROR(__xludf.DUMMYFUNCTION("""COMPUTED_VALUE"""),"Completed")</f>
        <v>Completed</v>
      </c>
      <c r="T26" s="28"/>
      <c r="U26" s="28">
        <f>IFERROR(__xludf.DUMMYFUNCTION("""COMPUTED_VALUE"""),45881.41370305556)</f>
        <v>45881.4137</v>
      </c>
      <c r="V26" s="29">
        <f>IFERROR(__xludf.DUMMYFUNCTION("""COMPUTED_VALUE"""),45895.0)</f>
        <v>45895</v>
      </c>
      <c r="W26" s="30">
        <f t="array" ref="W26">DATEDIF(T26, V26, "D")</f>
        <v>45895</v>
      </c>
      <c r="X26" s="30">
        <f t="shared" si="1"/>
        <v>45881</v>
      </c>
      <c r="Y26" s="31"/>
    </row>
    <row r="27" ht="22.5" customHeight="1">
      <c r="A27" s="19">
        <f>IFERROR(__xludf.DUMMYFUNCTION("""COMPUTED_VALUE"""),2.50812004E8)</f>
        <v>250812004</v>
      </c>
      <c r="B27" s="19" t="str">
        <f>IFERROR(__xludf.DUMMYFUNCTION("""COMPUTED_VALUE"""),"May ")</f>
        <v>May </v>
      </c>
      <c r="C27" s="19" t="str">
        <f>IFERROR(__xludf.DUMMYFUNCTION("""COMPUTED_VALUE"""),"B")</f>
        <v>B</v>
      </c>
      <c r="D27" s="19" t="str">
        <f>IFERROR(__xludf.DUMMYFUNCTION("""COMPUTED_VALUE"""),"Tomorrow")</f>
        <v>Tomorrow</v>
      </c>
      <c r="E27" s="19"/>
      <c r="F27" s="20">
        <f>IFERROR(__xludf.DUMMYFUNCTION("""COMPUTED_VALUE"""),45884.0)</f>
        <v>45884</v>
      </c>
      <c r="G27" s="19" t="str">
        <f>IFERROR(__xludf.DUMMYFUNCTION("""COMPUTED_VALUE"""),"BBI Enterprises")</f>
        <v>BBI Enterprises</v>
      </c>
      <c r="H27" s="20">
        <f>IFERROR(__xludf.DUMMYFUNCTION("""COMPUTED_VALUE"""),45884.0)</f>
        <v>45884</v>
      </c>
      <c r="I27" s="20">
        <f>IFERROR(__xludf.DUMMYFUNCTION("""COMPUTED_VALUE"""),45881.46093559028)</f>
        <v>45881.46094</v>
      </c>
      <c r="J27" s="27">
        <f>IFERROR(__xludf.DUMMYFUNCTION("""COMPUTED_VALUE"""),45881.46425895834)</f>
        <v>45881.46426</v>
      </c>
      <c r="K27" s="19"/>
      <c r="L27" s="27"/>
      <c r="M27" s="27"/>
      <c r="N27" s="27"/>
      <c r="O27" s="27"/>
      <c r="P27" s="27"/>
      <c r="Q27" s="19"/>
      <c r="R27" s="27"/>
      <c r="S27" s="19" t="str">
        <f>IFERROR(__xludf.DUMMYFUNCTION("""COMPUTED_VALUE"""),"Completed")</f>
        <v>Completed</v>
      </c>
      <c r="T27" s="28"/>
      <c r="U27" s="28">
        <f>IFERROR(__xludf.DUMMYFUNCTION("""COMPUTED_VALUE"""),45881.46437565972)</f>
        <v>45881.46438</v>
      </c>
      <c r="V27" s="29">
        <f>IFERROR(__xludf.DUMMYFUNCTION("""COMPUTED_VALUE"""),45883.0)</f>
        <v>45883</v>
      </c>
      <c r="W27" s="30">
        <f t="array" ref="W27">DATEDIF(T27, V27, "D")</f>
        <v>45883</v>
      </c>
      <c r="X27" s="30">
        <f t="shared" si="1"/>
        <v>45881</v>
      </c>
      <c r="Y27" s="31"/>
    </row>
    <row r="28" ht="22.5" customHeight="1">
      <c r="A28" s="19">
        <f>IFERROR(__xludf.DUMMYFUNCTION("""COMPUTED_VALUE"""),2.50812005E8)</f>
        <v>250812005</v>
      </c>
      <c r="B28" s="19" t="str">
        <f>IFERROR(__xludf.DUMMYFUNCTION("""COMPUTED_VALUE"""),"Angie")</f>
        <v>Angie</v>
      </c>
      <c r="C28" s="19"/>
      <c r="D28" s="19" t="str">
        <f>IFERROR(__xludf.DUMMYFUNCTION("""COMPUTED_VALUE"""),"O'Plasty")</f>
        <v>O'Plasty</v>
      </c>
      <c r="E28" s="19"/>
      <c r="F28" s="20">
        <f>IFERROR(__xludf.DUMMYFUNCTION("""COMPUTED_VALUE"""),45888.0)</f>
        <v>45888</v>
      </c>
      <c r="G28" s="19" t="str">
        <f>IFERROR(__xludf.DUMMYFUNCTION("""COMPUTED_VALUE"""),"PC Gaming")</f>
        <v>PC Gaming</v>
      </c>
      <c r="H28" s="20">
        <f>IFERROR(__xludf.DUMMYFUNCTION("""COMPUTED_VALUE"""),45888.0)</f>
        <v>45888</v>
      </c>
      <c r="I28" s="20">
        <f>IFERROR(__xludf.DUMMYFUNCTION("""COMPUTED_VALUE"""),45881.48929402778)</f>
        <v>45881.48929</v>
      </c>
      <c r="J28" s="27">
        <f>IFERROR(__xludf.DUMMYFUNCTION("""COMPUTED_VALUE"""),45881.49078258102)</f>
        <v>45881.49078</v>
      </c>
      <c r="K28" s="19"/>
      <c r="L28" s="27">
        <f>IFERROR(__xludf.DUMMYFUNCTION("""COMPUTED_VALUE"""),45881.490887824075)</f>
        <v>45881.49089</v>
      </c>
      <c r="M28" s="27"/>
      <c r="N28" s="27"/>
      <c r="O28" s="27"/>
      <c r="P28" s="27"/>
      <c r="Q28" s="19"/>
      <c r="R28" s="27"/>
      <c r="S28" s="19" t="str">
        <f>IFERROR(__xludf.DUMMYFUNCTION("""COMPUTED_VALUE"""),"Completed")</f>
        <v>Completed</v>
      </c>
      <c r="T28" s="28">
        <f>IFERROR(__xludf.DUMMYFUNCTION("""COMPUTED_VALUE"""),45881.47328465278)</f>
        <v>45881.47328</v>
      </c>
      <c r="U28" s="28">
        <f>IFERROR(__xludf.DUMMYFUNCTION("""COMPUTED_VALUE"""),45881.49110421297)</f>
        <v>45881.4911</v>
      </c>
      <c r="V28" s="29">
        <f>IFERROR(__xludf.DUMMYFUNCTION("""COMPUTED_VALUE"""),45887.0)</f>
        <v>45887</v>
      </c>
      <c r="W28" s="30">
        <f t="array" ref="W28">DATEDIF(T28, V28, "D")</f>
        <v>6</v>
      </c>
      <c r="X28" s="30">
        <f t="shared" si="1"/>
        <v>0</v>
      </c>
      <c r="Y28" s="31"/>
    </row>
    <row r="29" ht="22.5" customHeight="1">
      <c r="A29" s="19">
        <f>IFERROR(__xludf.DUMMYFUNCTION("""COMPUTED_VALUE"""),2.50812007E8)</f>
        <v>250812007</v>
      </c>
      <c r="B29" s="19" t="str">
        <f>IFERROR(__xludf.DUMMYFUNCTION("""COMPUTED_VALUE"""),"John")</f>
        <v>John</v>
      </c>
      <c r="C29" s="19"/>
      <c r="D29" s="19" t="str">
        <f>IFERROR(__xludf.DUMMYFUNCTION("""COMPUTED_VALUE"""),"Athon")</f>
        <v>Athon</v>
      </c>
      <c r="E29" s="19"/>
      <c r="F29" s="20">
        <f>IFERROR(__xludf.DUMMYFUNCTION("""COMPUTED_VALUE"""),45898.0)</f>
        <v>45898</v>
      </c>
      <c r="G29" s="19" t="str">
        <f>IFERROR(__xludf.DUMMYFUNCTION("""COMPUTED_VALUE"""),"Ventra Group ")</f>
        <v>Ventra Group </v>
      </c>
      <c r="H29" s="20">
        <f>IFERROR(__xludf.DUMMYFUNCTION("""COMPUTED_VALUE"""),45898.0)</f>
        <v>45898</v>
      </c>
      <c r="I29" s="20">
        <f>IFERROR(__xludf.DUMMYFUNCTION("""COMPUTED_VALUE"""),45881.52260960648)</f>
        <v>45881.52261</v>
      </c>
      <c r="J29" s="27">
        <f>IFERROR(__xludf.DUMMYFUNCTION("""COMPUTED_VALUE"""),45881.52437180556)</f>
        <v>45881.52437</v>
      </c>
      <c r="K29" s="19"/>
      <c r="L29" s="27">
        <f>IFERROR(__xludf.DUMMYFUNCTION("""COMPUTED_VALUE"""),45881.52460265046)</f>
        <v>45881.5246</v>
      </c>
      <c r="M29" s="27"/>
      <c r="N29" s="27">
        <f>IFERROR(__xludf.DUMMYFUNCTION("""COMPUTED_VALUE"""),45881.52453920139)</f>
        <v>45881.52454</v>
      </c>
      <c r="O29" s="27"/>
      <c r="P29" s="27">
        <f>IFERROR(__xludf.DUMMYFUNCTION("""COMPUTED_VALUE"""),45881.52453920139)</f>
        <v>45881.52454</v>
      </c>
      <c r="Q29" s="19"/>
      <c r="R29" s="27"/>
      <c r="S29" s="19" t="str">
        <f>IFERROR(__xludf.DUMMYFUNCTION("""COMPUTED_VALUE"""),"Completed")</f>
        <v>Completed</v>
      </c>
      <c r="T29" s="28">
        <f>IFERROR(__xludf.DUMMYFUNCTION("""COMPUTED_VALUE"""),45881.514088599535)</f>
        <v>45881.51409</v>
      </c>
      <c r="U29" s="28">
        <f>IFERROR(__xludf.DUMMYFUNCTION("""COMPUTED_VALUE"""),45881.52821744213)</f>
        <v>45881.52822</v>
      </c>
      <c r="V29" s="29">
        <f>IFERROR(__xludf.DUMMYFUNCTION("""COMPUTED_VALUE"""),45897.0)</f>
        <v>45897</v>
      </c>
      <c r="W29" s="30">
        <f t="array" ref="W29">DATEDIF(T29, V29, "D")</f>
        <v>16</v>
      </c>
      <c r="X29" s="30">
        <f t="shared" si="1"/>
        <v>0</v>
      </c>
      <c r="Y29" s="31"/>
    </row>
    <row r="30" ht="22.5" customHeight="1">
      <c r="A30" s="19">
        <f>IFERROR(__xludf.DUMMYFUNCTION("""COMPUTED_VALUE"""),2.50812008E8)</f>
        <v>250812008</v>
      </c>
      <c r="B30" s="19" t="str">
        <f>IFERROR(__xludf.DUMMYFUNCTION("""COMPUTED_VALUE"""),"May ")</f>
        <v>May </v>
      </c>
      <c r="C30" s="19" t="str">
        <f>IFERROR(__xludf.DUMMYFUNCTION("""COMPUTED_VALUE"""),"B")</f>
        <v>B</v>
      </c>
      <c r="D30" s="19" t="str">
        <f>IFERROR(__xludf.DUMMYFUNCTION("""COMPUTED_VALUE"""),"Tomorrow")</f>
        <v>Tomorrow</v>
      </c>
      <c r="E30" s="19" t="str">
        <f>IFERROR(__xludf.DUMMYFUNCTION("""COMPUTED_VALUE"""),"B")</f>
        <v>B</v>
      </c>
      <c r="F30" s="20">
        <f>IFERROR(__xludf.DUMMYFUNCTION("""COMPUTED_VALUE"""),45895.0)</f>
        <v>45895</v>
      </c>
      <c r="G30" s="19" t="str">
        <f>IFERROR(__xludf.DUMMYFUNCTION("""COMPUTED_VALUE"""),"Bunge Canada")</f>
        <v>Bunge Canada</v>
      </c>
      <c r="H30" s="20">
        <f>IFERROR(__xludf.DUMMYFUNCTION("""COMPUTED_VALUE"""),45895.0)</f>
        <v>45895</v>
      </c>
      <c r="I30" s="20">
        <f>IFERROR(__xludf.DUMMYFUNCTION("""COMPUTED_VALUE"""),45881.537617361115)</f>
        <v>45881.53762</v>
      </c>
      <c r="J30" s="27">
        <f>IFERROR(__xludf.DUMMYFUNCTION("""COMPUTED_VALUE"""),45881.55289924769)</f>
        <v>45881.5529</v>
      </c>
      <c r="K30" s="27">
        <f>IFERROR(__xludf.DUMMYFUNCTION("""COMPUTED_VALUE"""),45881.552874155095)</f>
        <v>45881.55287</v>
      </c>
      <c r="L30" s="27"/>
      <c r="M30" s="27"/>
      <c r="N30" s="27"/>
      <c r="O30" s="27"/>
      <c r="P30" s="27"/>
      <c r="Q30" s="19"/>
      <c r="R30" s="27"/>
      <c r="S30" s="19" t="str">
        <f>IFERROR(__xludf.DUMMYFUNCTION("""COMPUTED_VALUE"""),"Completed")</f>
        <v>Completed</v>
      </c>
      <c r="T30" s="28">
        <f>IFERROR(__xludf.DUMMYFUNCTION("""COMPUTED_VALUE"""),45881.535921608796)</f>
        <v>45881.53592</v>
      </c>
      <c r="U30" s="28">
        <f>IFERROR(__xludf.DUMMYFUNCTION("""COMPUTED_VALUE"""),45881.55292379629)</f>
        <v>45881.55292</v>
      </c>
      <c r="V30" s="29">
        <f>IFERROR(__xludf.DUMMYFUNCTION("""COMPUTED_VALUE"""),45894.0)</f>
        <v>45894</v>
      </c>
      <c r="W30" s="30"/>
      <c r="X30" s="32"/>
      <c r="Y30" s="31"/>
    </row>
    <row r="31" ht="22.5" customHeight="1">
      <c r="A31" s="19">
        <f>IFERROR(__xludf.DUMMYFUNCTION("""COMPUTED_VALUE"""),2.50826001E8)</f>
        <v>250826001</v>
      </c>
      <c r="B31" s="19" t="str">
        <f>IFERROR(__xludf.DUMMYFUNCTION("""COMPUTED_VALUE"""),"John")</f>
        <v>John</v>
      </c>
      <c r="C31" s="19"/>
      <c r="D31" s="19" t="str">
        <f>IFERROR(__xludf.DUMMYFUNCTION("""COMPUTED_VALUE"""),"Doe")</f>
        <v>Doe</v>
      </c>
      <c r="E31" s="19" t="str">
        <f>IFERROR(__xludf.DUMMYFUNCTION("""COMPUTED_VALUE"""),"Johnny")</f>
        <v>Johnny</v>
      </c>
      <c r="F31" s="20">
        <f>IFERROR(__xludf.DUMMYFUNCTION("""COMPUTED_VALUE"""),45896.0)</f>
        <v>45896</v>
      </c>
      <c r="G31" s="19" t="str">
        <f>IFERROR(__xludf.DUMMYFUNCTION("""COMPUTED_VALUE"""),"Geely YuYao")</f>
        <v>Geely YuYao</v>
      </c>
      <c r="H31" s="20">
        <f>IFERROR(__xludf.DUMMYFUNCTION("""COMPUTED_VALUE"""),45896.0)</f>
        <v>45896</v>
      </c>
      <c r="I31" s="20">
        <f>IFERROR(__xludf.DUMMYFUNCTION("""COMPUTED_VALUE"""),45895.4794559838)</f>
        <v>45895.47946</v>
      </c>
      <c r="J31" s="27">
        <f>IFERROR(__xludf.DUMMYFUNCTION("""COMPUTED_VALUE"""),45895.48259680555)</f>
        <v>45895.4826</v>
      </c>
      <c r="K31" s="27"/>
      <c r="L31" s="27"/>
      <c r="M31" s="27"/>
      <c r="N31" s="27"/>
      <c r="O31" s="27"/>
      <c r="P31" s="27"/>
      <c r="Q31" s="19"/>
      <c r="R31" s="27"/>
      <c r="S31" s="19" t="str">
        <f>IFERROR(__xludf.DUMMYFUNCTION("""COMPUTED_VALUE"""),"Completed")</f>
        <v>Completed</v>
      </c>
      <c r="T31" s="28">
        <f>IFERROR(__xludf.DUMMYFUNCTION("""COMPUTED_VALUE"""),45895.47522334491)</f>
        <v>45895.47522</v>
      </c>
      <c r="U31" s="28">
        <f>IFERROR(__xludf.DUMMYFUNCTION("""COMPUTED_VALUE"""),45895.483423784724)</f>
        <v>45895.48342</v>
      </c>
      <c r="V31" s="29">
        <f>IFERROR(__xludf.DUMMYFUNCTION("""COMPUTED_VALUE"""),45895.0)</f>
        <v>45895</v>
      </c>
      <c r="W31" s="30"/>
      <c r="X31" s="32"/>
      <c r="Y31" s="31"/>
    </row>
    <row r="32" ht="22.5" customHeight="1">
      <c r="A32" s="19">
        <f>IFERROR(__xludf.DUMMYFUNCTION("""COMPUTED_VALUE"""),2.50826002E8)</f>
        <v>250826002</v>
      </c>
      <c r="B32" s="19" t="str">
        <f>IFERROR(__xludf.DUMMYFUNCTION("""COMPUTED_VALUE"""),"John")</f>
        <v>John</v>
      </c>
      <c r="C32" s="19"/>
      <c r="D32" s="19" t="str">
        <f>IFERROR(__xludf.DUMMYFUNCTION("""COMPUTED_VALUE"""),"Doe")</f>
        <v>Doe</v>
      </c>
      <c r="E32" s="19"/>
      <c r="F32" s="20">
        <f>IFERROR(__xludf.DUMMYFUNCTION("""COMPUTED_VALUE"""),45897.0)</f>
        <v>45897</v>
      </c>
      <c r="G32" s="19" t="str">
        <f>IFERROR(__xludf.DUMMYFUNCTION("""COMPUTED_VALUE"""),"Geely YuYao")</f>
        <v>Geely YuYao</v>
      </c>
      <c r="H32" s="20">
        <f>IFERROR(__xludf.DUMMYFUNCTION("""COMPUTED_VALUE"""),45897.0)</f>
        <v>45897</v>
      </c>
      <c r="I32" s="20">
        <f>IFERROR(__xludf.DUMMYFUNCTION("""COMPUTED_VALUE"""),45895.48109450232)</f>
        <v>45895.48109</v>
      </c>
      <c r="J32" s="27">
        <f>IFERROR(__xludf.DUMMYFUNCTION("""COMPUTED_VALUE"""),45895.48507277778)</f>
        <v>45895.48507</v>
      </c>
      <c r="K32" s="27"/>
      <c r="L32" s="27"/>
      <c r="M32" s="27"/>
      <c r="N32" s="27">
        <f>IFERROR(__xludf.DUMMYFUNCTION("""COMPUTED_VALUE"""),45895.48529287037)</f>
        <v>45895.48529</v>
      </c>
      <c r="O32" s="27">
        <f>IFERROR(__xludf.DUMMYFUNCTION("""COMPUTED_VALUE"""),45895.4853922801)</f>
        <v>45895.48539</v>
      </c>
      <c r="P32" s="27">
        <f>IFERROR(__xludf.DUMMYFUNCTION("""COMPUTED_VALUE"""),45895.48529287037)</f>
        <v>45895.48529</v>
      </c>
      <c r="Q32" s="19"/>
      <c r="R32" s="27"/>
      <c r="S32" s="19" t="str">
        <f>IFERROR(__xludf.DUMMYFUNCTION("""COMPUTED_VALUE"""),"Completed")</f>
        <v>Completed</v>
      </c>
      <c r="T32" s="28">
        <f>IFERROR(__xludf.DUMMYFUNCTION("""COMPUTED_VALUE"""),45895.477966481485)</f>
        <v>45895.47797</v>
      </c>
      <c r="U32" s="28">
        <f>IFERROR(__xludf.DUMMYFUNCTION("""COMPUTED_VALUE"""),45895.4893078125)</f>
        <v>45895.48931</v>
      </c>
      <c r="V32" s="29">
        <f>IFERROR(__xludf.DUMMYFUNCTION("""COMPUTED_VALUE"""),45896.0)</f>
        <v>45896</v>
      </c>
      <c r="W32" s="30"/>
      <c r="X32" s="32"/>
      <c r="Y32" s="31"/>
    </row>
    <row r="33" ht="22.5" customHeight="1">
      <c r="A33" s="19">
        <f>IFERROR(__xludf.DUMMYFUNCTION("""COMPUTED_VALUE"""),2.50826003E8)</f>
        <v>250826003</v>
      </c>
      <c r="B33" s="19" t="str">
        <f>IFERROR(__xludf.DUMMYFUNCTION("""COMPUTED_VALUE"""),"John")</f>
        <v>John</v>
      </c>
      <c r="C33" s="19" t="str">
        <f>IFERROR(__xludf.DUMMYFUNCTION("""COMPUTED_VALUE"""),"JD")</f>
        <v>JD</v>
      </c>
      <c r="D33" s="19" t="str">
        <f>IFERROR(__xludf.DUMMYFUNCTION("""COMPUTED_VALUE"""),"Doe")</f>
        <v>Doe</v>
      </c>
      <c r="E33" s="19" t="str">
        <f>IFERROR(__xludf.DUMMYFUNCTION("""COMPUTED_VALUE"""),"Johnny")</f>
        <v>Johnny</v>
      </c>
      <c r="F33" s="20">
        <f>IFERROR(__xludf.DUMMYFUNCTION("""COMPUTED_VALUE"""),45902.0)</f>
        <v>45902</v>
      </c>
      <c r="G33" s="19" t="str">
        <f>IFERROR(__xludf.DUMMYFUNCTION("""COMPUTED_VALUE"""),"Detroit Edison ")</f>
        <v>Detroit Edison </v>
      </c>
      <c r="H33" s="20">
        <f>IFERROR(__xludf.DUMMYFUNCTION("""COMPUTED_VALUE"""),45902.0)</f>
        <v>45902</v>
      </c>
      <c r="I33" s="20">
        <f>IFERROR(__xludf.DUMMYFUNCTION("""COMPUTED_VALUE"""),45895.49650013889)</f>
        <v>45895.4965</v>
      </c>
      <c r="J33" s="27">
        <f>IFERROR(__xludf.DUMMYFUNCTION("""COMPUTED_VALUE"""),45895.50679490741)</f>
        <v>45895.50679</v>
      </c>
      <c r="K33" s="27"/>
      <c r="L33" s="27"/>
      <c r="M33" s="27"/>
      <c r="N33" s="27"/>
      <c r="O33" s="27"/>
      <c r="P33" s="27"/>
      <c r="Q33" s="19"/>
      <c r="R33" s="27"/>
      <c r="S33" s="19" t="str">
        <f>IFERROR(__xludf.DUMMYFUNCTION("""COMPUTED_VALUE"""),"Completed")</f>
        <v>Completed</v>
      </c>
      <c r="T33" s="28">
        <f>IFERROR(__xludf.DUMMYFUNCTION("""COMPUTED_VALUE"""),45895.493165798616)</f>
        <v>45895.49317</v>
      </c>
      <c r="U33" s="28">
        <f>IFERROR(__xludf.DUMMYFUNCTION("""COMPUTED_VALUE"""),45895.50793797454)</f>
        <v>45895.50794</v>
      </c>
      <c r="V33" s="29">
        <f>IFERROR(__xludf.DUMMYFUNCTION("""COMPUTED_VALUE"""),45901.0)</f>
        <v>45901</v>
      </c>
      <c r="W33" s="30"/>
      <c r="X33" s="32"/>
      <c r="Y33" s="31"/>
    </row>
    <row r="34" ht="22.5" customHeight="1">
      <c r="A34" s="19">
        <f>IFERROR(__xludf.DUMMYFUNCTION("""COMPUTED_VALUE"""),2.51125004E8)</f>
        <v>251125004</v>
      </c>
      <c r="B34" s="19" t="str">
        <f>IFERROR(__xludf.DUMMYFUNCTION("""COMPUTED_VALUE"""),"DANIEL")</f>
        <v>DANIEL</v>
      </c>
      <c r="C34" s="19"/>
      <c r="D34" s="19" t="str">
        <f>IFERROR(__xludf.DUMMYFUNCTION("""COMPUTED_VALUE"""),"BINNS")</f>
        <v>BINNS</v>
      </c>
      <c r="E34" s="19"/>
      <c r="F34" s="20">
        <f>IFERROR(__xludf.DUMMYFUNCTION("""COMPUTED_VALUE"""),45986.0)</f>
        <v>45986</v>
      </c>
      <c r="G34" s="19" t="str">
        <f>IFERROR(__xludf.DUMMYFUNCTION("""COMPUTED_VALUE"""),"Chrysler Brampton")</f>
        <v>Chrysler Brampton</v>
      </c>
      <c r="H34" s="20">
        <f>IFERROR(__xludf.DUMMYFUNCTION("""COMPUTED_VALUE"""),45986.0)</f>
        <v>45986</v>
      </c>
      <c r="I34" s="20">
        <f>IFERROR(__xludf.DUMMYFUNCTION("""COMPUTED_VALUE"""),45986.71939334491)</f>
        <v>45986.71939</v>
      </c>
      <c r="J34" s="27">
        <f>IFERROR(__xludf.DUMMYFUNCTION("""COMPUTED_VALUE"""),45986.7214671875)</f>
        <v>45986.72147</v>
      </c>
      <c r="K34" s="27"/>
      <c r="L34" s="27"/>
      <c r="M34" s="27"/>
      <c r="N34" s="27"/>
      <c r="O34" s="27"/>
      <c r="P34" s="27"/>
      <c r="Q34" s="19"/>
      <c r="R34" s="27"/>
      <c r="S34" s="19" t="str">
        <f>IFERROR(__xludf.DUMMYFUNCTION("""COMPUTED_VALUE"""),"Completed")</f>
        <v>Completed</v>
      </c>
      <c r="T34" s="28">
        <f>IFERROR(__xludf.DUMMYFUNCTION("""COMPUTED_VALUE"""),45986.71163521991)</f>
        <v>45986.71164</v>
      </c>
      <c r="U34" s="28">
        <f>IFERROR(__xludf.DUMMYFUNCTION("""COMPUTED_VALUE"""),45986.72342628472)</f>
        <v>45986.72343</v>
      </c>
      <c r="V34" s="29">
        <f>IFERROR(__xludf.DUMMYFUNCTION("""COMPUTED_VALUE"""),45986.0)</f>
        <v>45986</v>
      </c>
      <c r="W34" s="30"/>
      <c r="X34" s="32"/>
      <c r="Y34" s="31"/>
    </row>
    <row r="35" ht="22.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8"/>
      <c r="U35" s="28"/>
      <c r="V35" s="29"/>
      <c r="W35" s="30"/>
      <c r="X35" s="32"/>
      <c r="Y35" s="31"/>
    </row>
    <row r="36" ht="22.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8"/>
      <c r="U36" s="28"/>
      <c r="V36" s="29"/>
      <c r="W36" s="30"/>
      <c r="X36" s="32"/>
      <c r="Y36" s="31"/>
    </row>
    <row r="37" ht="22.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8"/>
      <c r="U37" s="28"/>
      <c r="V37" s="29"/>
      <c r="W37" s="30"/>
      <c r="X37" s="32"/>
      <c r="Y37" s="31"/>
    </row>
    <row r="38" ht="22.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28"/>
      <c r="U38" s="28"/>
      <c r="V38" s="29"/>
      <c r="W38" s="30"/>
      <c r="X38" s="32"/>
      <c r="Y38" s="31"/>
    </row>
    <row r="39" ht="22.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8"/>
      <c r="U39" s="28"/>
      <c r="V39" s="29"/>
      <c r="W39" s="30"/>
      <c r="X39" s="32"/>
      <c r="Y39" s="31"/>
    </row>
    <row r="40" ht="22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8"/>
      <c r="U40" s="28"/>
      <c r="V40" s="29"/>
      <c r="W40" s="30"/>
      <c r="X40" s="32"/>
      <c r="Y40" s="31"/>
    </row>
    <row r="41" ht="22.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8"/>
      <c r="U41" s="28"/>
      <c r="V41" s="29"/>
      <c r="W41" s="30"/>
      <c r="X41" s="32"/>
      <c r="Y41" s="31"/>
    </row>
    <row r="42" ht="22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28"/>
      <c r="U42" s="28"/>
      <c r="V42" s="29"/>
      <c r="W42" s="30"/>
      <c r="X42" s="32"/>
      <c r="Y42" s="31"/>
    </row>
    <row r="43" ht="22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8"/>
      <c r="U43" s="28"/>
      <c r="V43" s="29"/>
      <c r="W43" s="30"/>
      <c r="X43" s="32"/>
      <c r="Y43" s="31"/>
    </row>
    <row r="44" ht="22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8"/>
      <c r="U44" s="28"/>
      <c r="V44" s="29"/>
      <c r="W44" s="30"/>
      <c r="X44" s="32"/>
      <c r="Y44" s="31"/>
    </row>
    <row r="45" ht="22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8"/>
      <c r="U45" s="28"/>
      <c r="V45" s="29"/>
      <c r="W45" s="30"/>
      <c r="X45" s="32"/>
      <c r="Y45" s="31"/>
    </row>
    <row r="46" ht="22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28"/>
      <c r="U46" s="28"/>
      <c r="V46" s="29"/>
      <c r="W46" s="30"/>
      <c r="X46" s="32"/>
      <c r="Y46" s="31"/>
    </row>
    <row r="47" ht="22.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28"/>
      <c r="U47" s="28"/>
      <c r="V47" s="29"/>
      <c r="W47" s="30"/>
      <c r="X47" s="32"/>
      <c r="Y47" s="31"/>
    </row>
    <row r="48" ht="22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28"/>
      <c r="U48" s="28"/>
      <c r="V48" s="29"/>
      <c r="W48" s="30"/>
      <c r="X48" s="32"/>
      <c r="Y48" s="31"/>
    </row>
    <row r="49" ht="22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8"/>
      <c r="U49" s="28"/>
      <c r="V49" s="29"/>
      <c r="W49" s="30"/>
      <c r="X49" s="32"/>
      <c r="Y49" s="31"/>
    </row>
    <row r="50" ht="22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28"/>
      <c r="U50" s="28"/>
      <c r="V50" s="29"/>
      <c r="W50" s="32"/>
      <c r="X50" s="32"/>
      <c r="Y50" s="31"/>
    </row>
    <row r="51" ht="22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28"/>
      <c r="U51" s="28"/>
      <c r="V51" s="29"/>
      <c r="W51" s="32"/>
      <c r="X51" s="32"/>
      <c r="Y51" s="31"/>
    </row>
    <row r="52" ht="22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8"/>
      <c r="U52" s="28"/>
      <c r="V52" s="29"/>
      <c r="W52" s="32"/>
      <c r="X52" s="32"/>
      <c r="Y52" s="31"/>
    </row>
    <row r="53" ht="22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8"/>
      <c r="U53" s="28"/>
      <c r="V53" s="29"/>
      <c r="W53" s="32"/>
      <c r="X53" s="32"/>
      <c r="Y53" s="31"/>
    </row>
    <row r="54" ht="22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28"/>
      <c r="U54" s="28"/>
      <c r="V54" s="29"/>
      <c r="W54" s="32"/>
      <c r="X54" s="32"/>
      <c r="Y54" s="31"/>
    </row>
    <row r="55" ht="22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8"/>
      <c r="U55" s="28"/>
      <c r="V55" s="29"/>
      <c r="W55" s="32"/>
      <c r="X55" s="32"/>
      <c r="Y55" s="31"/>
    </row>
    <row r="56" ht="22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28"/>
      <c r="U56" s="28"/>
      <c r="V56" s="29"/>
      <c r="W56" s="32"/>
      <c r="X56" s="32"/>
      <c r="Y56" s="31"/>
    </row>
    <row r="57" ht="22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28"/>
      <c r="U57" s="28"/>
      <c r="V57" s="29"/>
      <c r="W57" s="32"/>
      <c r="X57" s="32"/>
      <c r="Y57" s="31"/>
    </row>
    <row r="58" ht="22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28"/>
      <c r="U58" s="28"/>
      <c r="V58" s="29"/>
      <c r="W58" s="32"/>
      <c r="X58" s="32"/>
      <c r="Y58" s="31"/>
    </row>
    <row r="59" ht="22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28"/>
      <c r="U59" s="28"/>
      <c r="V59" s="29"/>
      <c r="W59" s="32"/>
      <c r="X59" s="32"/>
      <c r="Y59" s="31"/>
    </row>
    <row r="60" ht="22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28"/>
      <c r="U60" s="28"/>
      <c r="V60" s="29"/>
      <c r="W60" s="32"/>
      <c r="X60" s="32"/>
      <c r="Y60" s="31"/>
    </row>
    <row r="61" ht="22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28"/>
      <c r="U61" s="28"/>
      <c r="V61" s="29"/>
      <c r="W61" s="32"/>
      <c r="X61" s="32"/>
      <c r="Y61" s="31"/>
    </row>
    <row r="62" ht="22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28"/>
      <c r="U62" s="28"/>
      <c r="V62" s="29"/>
      <c r="W62" s="32"/>
      <c r="X62" s="32"/>
      <c r="Y62" s="31"/>
    </row>
    <row r="63" ht="22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8"/>
      <c r="U63" s="28"/>
      <c r="V63" s="29"/>
      <c r="W63" s="32"/>
      <c r="X63" s="32"/>
      <c r="Y63" s="31"/>
    </row>
    <row r="64" ht="22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28"/>
      <c r="U64" s="28"/>
      <c r="V64" s="29"/>
      <c r="W64" s="32"/>
      <c r="X64" s="32"/>
      <c r="Y64" s="31"/>
    </row>
    <row r="65" ht="22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28"/>
      <c r="U65" s="28"/>
      <c r="V65" s="29"/>
      <c r="W65" s="32"/>
      <c r="X65" s="32"/>
      <c r="Y65" s="31"/>
    </row>
    <row r="66" ht="22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28"/>
      <c r="U66" s="28"/>
      <c r="V66" s="29"/>
      <c r="W66" s="32"/>
      <c r="X66" s="32"/>
      <c r="Y66" s="31"/>
    </row>
    <row r="67" ht="22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28"/>
      <c r="U67" s="28"/>
      <c r="V67" s="29"/>
      <c r="W67" s="32"/>
      <c r="X67" s="32"/>
      <c r="Y67" s="31"/>
    </row>
    <row r="68" ht="22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28"/>
      <c r="U68" s="28"/>
      <c r="V68" s="29"/>
      <c r="W68" s="32"/>
      <c r="X68" s="32"/>
      <c r="Y68" s="31"/>
    </row>
    <row r="69" ht="22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28"/>
      <c r="U69" s="28"/>
      <c r="V69" s="29"/>
      <c r="W69" s="32"/>
      <c r="X69" s="32"/>
      <c r="Y69" s="31"/>
    </row>
    <row r="70" ht="22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28"/>
      <c r="U70" s="28"/>
      <c r="V70" s="29"/>
      <c r="W70" s="32"/>
      <c r="X70" s="32"/>
      <c r="Y70" s="31"/>
    </row>
    <row r="71" ht="22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28"/>
      <c r="U71" s="28"/>
      <c r="V71" s="29"/>
      <c r="W71" s="32"/>
      <c r="X71" s="32"/>
      <c r="Y71" s="31"/>
    </row>
    <row r="72" ht="22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28"/>
      <c r="U72" s="28"/>
      <c r="V72" s="29"/>
      <c r="W72" s="32"/>
      <c r="X72" s="32"/>
      <c r="Y72" s="31"/>
    </row>
    <row r="73" ht="22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28"/>
      <c r="U73" s="28"/>
      <c r="V73" s="29"/>
      <c r="W73" s="32"/>
      <c r="X73" s="32"/>
      <c r="Y73" s="31"/>
    </row>
    <row r="74" ht="22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28"/>
      <c r="U74" s="28"/>
      <c r="V74" s="29"/>
      <c r="W74" s="32"/>
      <c r="X74" s="32"/>
      <c r="Y74" s="31"/>
    </row>
    <row r="75" ht="22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28"/>
      <c r="U75" s="28"/>
      <c r="V75" s="29"/>
      <c r="W75" s="32"/>
      <c r="X75" s="32"/>
      <c r="Y75" s="31"/>
    </row>
    <row r="76" ht="22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28"/>
      <c r="U76" s="28"/>
      <c r="V76" s="29"/>
      <c r="W76" s="32"/>
      <c r="X76" s="32"/>
      <c r="Y76" s="31"/>
    </row>
    <row r="77" ht="22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28"/>
      <c r="U77" s="28"/>
      <c r="V77" s="29"/>
      <c r="W77" s="32"/>
      <c r="X77" s="32"/>
      <c r="Y77" s="31"/>
    </row>
    <row r="78" ht="22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28"/>
      <c r="U78" s="28"/>
      <c r="V78" s="29"/>
      <c r="W78" s="32"/>
      <c r="X78" s="32"/>
      <c r="Y78" s="31"/>
    </row>
    <row r="79" ht="22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28"/>
      <c r="U79" s="28"/>
      <c r="V79" s="29"/>
      <c r="W79" s="32"/>
      <c r="X79" s="32"/>
      <c r="Y79" s="31"/>
    </row>
    <row r="80" ht="22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28"/>
      <c r="U80" s="28"/>
      <c r="V80" s="29"/>
      <c r="W80" s="32"/>
      <c r="X80" s="32"/>
      <c r="Y80" s="31"/>
    </row>
    <row r="81" ht="22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28"/>
      <c r="U81" s="28"/>
      <c r="V81" s="29"/>
      <c r="W81" s="32"/>
      <c r="X81" s="32"/>
      <c r="Y81" s="31"/>
    </row>
    <row r="82" ht="22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28"/>
      <c r="U82" s="28"/>
      <c r="V82" s="29"/>
      <c r="W82" s="32"/>
      <c r="X82" s="32"/>
      <c r="Y82" s="31"/>
    </row>
    <row r="83" ht="22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28"/>
      <c r="U83" s="28"/>
      <c r="V83" s="29"/>
      <c r="W83" s="32"/>
      <c r="X83" s="32"/>
      <c r="Y83" s="31"/>
    </row>
    <row r="84" ht="22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28"/>
      <c r="U84" s="28"/>
      <c r="V84" s="29"/>
      <c r="W84" s="32"/>
      <c r="X84" s="32"/>
      <c r="Y84" s="31"/>
    </row>
    <row r="85" ht="22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28"/>
      <c r="U85" s="28"/>
      <c r="V85" s="29"/>
      <c r="W85" s="32"/>
      <c r="X85" s="32"/>
      <c r="Y85" s="31"/>
    </row>
    <row r="86" ht="22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8"/>
      <c r="U86" s="28"/>
      <c r="V86" s="29"/>
      <c r="W86" s="32"/>
      <c r="X86" s="32"/>
      <c r="Y86" s="31"/>
    </row>
    <row r="87" ht="22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8"/>
      <c r="U87" s="28"/>
      <c r="V87" s="29"/>
      <c r="W87" s="32"/>
      <c r="X87" s="32"/>
      <c r="Y87" s="31"/>
    </row>
    <row r="88" ht="22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8"/>
      <c r="U88" s="28"/>
      <c r="V88" s="29"/>
      <c r="W88" s="32"/>
      <c r="X88" s="32"/>
      <c r="Y88" s="31"/>
    </row>
    <row r="89" ht="22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8"/>
      <c r="U89" s="28"/>
      <c r="V89" s="29"/>
      <c r="W89" s="32"/>
      <c r="X89" s="32"/>
      <c r="Y89" s="31"/>
    </row>
    <row r="90" ht="22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8"/>
      <c r="U90" s="28"/>
      <c r="V90" s="29"/>
      <c r="W90" s="32"/>
      <c r="X90" s="32"/>
      <c r="Y90" s="31"/>
    </row>
    <row r="91" ht="22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8"/>
      <c r="U91" s="28"/>
      <c r="V91" s="29"/>
      <c r="W91" s="32"/>
      <c r="X91" s="32"/>
      <c r="Y91" s="31"/>
    </row>
    <row r="92" ht="22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8"/>
      <c r="U92" s="28"/>
      <c r="V92" s="29"/>
      <c r="W92" s="32"/>
      <c r="X92" s="32"/>
      <c r="Y92" s="31"/>
    </row>
    <row r="93" ht="22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8"/>
      <c r="U93" s="28"/>
      <c r="V93" s="29"/>
      <c r="W93" s="32"/>
      <c r="X93" s="32"/>
      <c r="Y93" s="31"/>
    </row>
    <row r="94" ht="22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8"/>
      <c r="U94" s="28"/>
      <c r="V94" s="29"/>
      <c r="W94" s="32"/>
      <c r="X94" s="32"/>
      <c r="Y94" s="31"/>
    </row>
    <row r="95" ht="22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8"/>
      <c r="U95" s="28"/>
      <c r="V95" s="29"/>
      <c r="W95" s="32"/>
      <c r="X95" s="32"/>
      <c r="Y95" s="31"/>
    </row>
    <row r="96" ht="22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8"/>
      <c r="U96" s="28"/>
      <c r="V96" s="29"/>
      <c r="W96" s="32"/>
      <c r="X96" s="32"/>
      <c r="Y96" s="31"/>
    </row>
    <row r="97" ht="22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28"/>
      <c r="U97" s="28"/>
      <c r="V97" s="29"/>
      <c r="W97" s="32"/>
      <c r="X97" s="32"/>
      <c r="Y97" s="31"/>
    </row>
    <row r="98" ht="22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28"/>
      <c r="U98" s="28"/>
      <c r="V98" s="29"/>
      <c r="W98" s="32"/>
      <c r="X98" s="32"/>
      <c r="Y98" s="31"/>
    </row>
    <row r="99" ht="22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28"/>
      <c r="U99" s="28"/>
      <c r="V99" s="29"/>
      <c r="W99" s="32"/>
      <c r="X99" s="32"/>
      <c r="Y99" s="31"/>
    </row>
    <row r="100" ht="22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28"/>
      <c r="U100" s="28"/>
      <c r="V100" s="29"/>
      <c r="W100" s="32"/>
      <c r="X100" s="32"/>
      <c r="Y100" s="31"/>
    </row>
    <row r="101" ht="22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28"/>
      <c r="U101" s="28"/>
      <c r="V101" s="29"/>
      <c r="W101" s="32"/>
      <c r="X101" s="32"/>
      <c r="Y101" s="31"/>
    </row>
    <row r="102" ht="22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28"/>
      <c r="U102" s="28"/>
      <c r="V102" s="29"/>
      <c r="W102" s="32"/>
      <c r="X102" s="32"/>
      <c r="Y102" s="31"/>
    </row>
    <row r="103" ht="22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28"/>
      <c r="U103" s="28"/>
      <c r="V103" s="29"/>
      <c r="W103" s="32"/>
      <c r="X103" s="32"/>
      <c r="Y103" s="31"/>
    </row>
    <row r="104" ht="22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28"/>
      <c r="U104" s="28"/>
      <c r="V104" s="29"/>
      <c r="W104" s="32"/>
      <c r="X104" s="32"/>
      <c r="Y104" s="31"/>
    </row>
    <row r="105" ht="22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28"/>
      <c r="U105" s="28"/>
      <c r="V105" s="29"/>
      <c r="W105" s="32"/>
      <c r="X105" s="32"/>
      <c r="Y105" s="31"/>
    </row>
    <row r="106" ht="22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28"/>
      <c r="U106" s="28"/>
      <c r="V106" s="29"/>
      <c r="W106" s="32"/>
      <c r="X106" s="32"/>
      <c r="Y106" s="31"/>
    </row>
    <row r="107" ht="22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28"/>
      <c r="U107" s="28"/>
      <c r="V107" s="29"/>
      <c r="W107" s="32"/>
      <c r="X107" s="32"/>
      <c r="Y107" s="31"/>
    </row>
    <row r="108" ht="22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28"/>
      <c r="U108" s="28"/>
      <c r="V108" s="29"/>
      <c r="W108" s="32"/>
      <c r="X108" s="32"/>
      <c r="Y108" s="31"/>
    </row>
    <row r="109" ht="22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28"/>
      <c r="U109" s="28"/>
      <c r="V109" s="29"/>
      <c r="W109" s="32"/>
      <c r="X109" s="32"/>
      <c r="Y109" s="31"/>
    </row>
    <row r="110" ht="22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28"/>
      <c r="U110" s="28"/>
      <c r="V110" s="29"/>
      <c r="W110" s="32"/>
      <c r="X110" s="32"/>
      <c r="Y110" s="31"/>
    </row>
    <row r="111" ht="22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28"/>
      <c r="U111" s="28"/>
      <c r="V111" s="29"/>
      <c r="W111" s="32"/>
      <c r="X111" s="32"/>
      <c r="Y111" s="31"/>
    </row>
    <row r="112" ht="22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28"/>
      <c r="U112" s="28"/>
      <c r="V112" s="29"/>
      <c r="W112" s="32"/>
      <c r="X112" s="32"/>
      <c r="Y112" s="31"/>
    </row>
    <row r="113" ht="22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28"/>
      <c r="U113" s="28"/>
      <c r="V113" s="29"/>
      <c r="W113" s="32"/>
      <c r="X113" s="32"/>
      <c r="Y113" s="31"/>
    </row>
    <row r="114" ht="22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28"/>
      <c r="U114" s="28"/>
      <c r="V114" s="29"/>
      <c r="W114" s="32"/>
      <c r="X114" s="32"/>
      <c r="Y114" s="31"/>
    </row>
    <row r="115" ht="22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28"/>
      <c r="U115" s="28"/>
      <c r="V115" s="29"/>
      <c r="W115" s="32"/>
      <c r="X115" s="32"/>
      <c r="Y115" s="31"/>
    </row>
    <row r="116" ht="22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28"/>
      <c r="U116" s="28"/>
      <c r="V116" s="29"/>
      <c r="W116" s="32"/>
      <c r="X116" s="32"/>
      <c r="Y116" s="31"/>
    </row>
    <row r="117" ht="22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28"/>
      <c r="U117" s="28"/>
      <c r="V117" s="29"/>
      <c r="W117" s="32"/>
      <c r="X117" s="32"/>
      <c r="Y117" s="31"/>
    </row>
    <row r="118" ht="22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28"/>
      <c r="U118" s="28"/>
      <c r="V118" s="29"/>
      <c r="W118" s="32"/>
      <c r="X118" s="32"/>
      <c r="Y118" s="31"/>
    </row>
    <row r="119" ht="22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28"/>
      <c r="U119" s="28"/>
      <c r="V119" s="29"/>
      <c r="W119" s="32"/>
      <c r="X119" s="32"/>
      <c r="Y119" s="31"/>
    </row>
    <row r="120" ht="22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28"/>
      <c r="U120" s="28"/>
      <c r="V120" s="29"/>
      <c r="W120" s="32"/>
      <c r="X120" s="32"/>
      <c r="Y120" s="31"/>
    </row>
    <row r="121" ht="22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28"/>
      <c r="U121" s="28"/>
      <c r="V121" s="29"/>
      <c r="W121" s="32"/>
      <c r="X121" s="32"/>
      <c r="Y121" s="31"/>
    </row>
    <row r="122" ht="22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28"/>
      <c r="U122" s="28"/>
      <c r="V122" s="29"/>
      <c r="W122" s="32"/>
      <c r="X122" s="32"/>
      <c r="Y122" s="31"/>
    </row>
    <row r="123" ht="22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28"/>
      <c r="U123" s="28"/>
      <c r="V123" s="29"/>
      <c r="W123" s="32"/>
      <c r="X123" s="32"/>
      <c r="Y123" s="31"/>
    </row>
    <row r="124" ht="22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28"/>
      <c r="U124" s="28"/>
      <c r="V124" s="29"/>
      <c r="W124" s="32"/>
      <c r="X124" s="32"/>
      <c r="Y124" s="31"/>
    </row>
    <row r="125" ht="22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28"/>
      <c r="U125" s="28"/>
      <c r="V125" s="29"/>
      <c r="W125" s="32"/>
      <c r="X125" s="32"/>
      <c r="Y125" s="31"/>
    </row>
    <row r="126" ht="22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28"/>
      <c r="U126" s="28"/>
      <c r="V126" s="29"/>
      <c r="W126" s="32"/>
      <c r="X126" s="32"/>
      <c r="Y126" s="31"/>
    </row>
    <row r="127" ht="22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28"/>
      <c r="U127" s="28"/>
      <c r="V127" s="29"/>
      <c r="W127" s="32"/>
      <c r="X127" s="32"/>
      <c r="Y127" s="31"/>
    </row>
    <row r="128" ht="22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28"/>
      <c r="U128" s="28"/>
      <c r="V128" s="29"/>
      <c r="W128" s="32"/>
      <c r="X128" s="32"/>
      <c r="Y128" s="31"/>
    </row>
    <row r="129" ht="22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28"/>
      <c r="U129" s="28"/>
      <c r="V129" s="29"/>
      <c r="W129" s="32"/>
      <c r="X129" s="32"/>
      <c r="Y129" s="31"/>
    </row>
    <row r="130" ht="22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28"/>
      <c r="U130" s="28"/>
      <c r="V130" s="29"/>
      <c r="W130" s="32"/>
      <c r="X130" s="32"/>
      <c r="Y130" s="31"/>
    </row>
    <row r="131" ht="22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28"/>
      <c r="U131" s="28"/>
      <c r="V131" s="29"/>
      <c r="W131" s="32"/>
      <c r="X131" s="32"/>
      <c r="Y131" s="31"/>
    </row>
    <row r="132" ht="22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28"/>
      <c r="U132" s="28"/>
      <c r="V132" s="29"/>
      <c r="W132" s="32"/>
      <c r="X132" s="32"/>
      <c r="Y132" s="31"/>
    </row>
    <row r="133" ht="22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28"/>
      <c r="U133" s="28"/>
      <c r="V133" s="29"/>
      <c r="W133" s="32"/>
      <c r="X133" s="32"/>
      <c r="Y133" s="31"/>
    </row>
    <row r="134" ht="22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28"/>
      <c r="U134" s="28"/>
      <c r="V134" s="29"/>
      <c r="W134" s="32"/>
      <c r="X134" s="32"/>
      <c r="Y134" s="31"/>
    </row>
    <row r="135" ht="22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28"/>
      <c r="U135" s="28"/>
      <c r="V135" s="29"/>
      <c r="W135" s="32"/>
      <c r="X135" s="32"/>
      <c r="Y135" s="31"/>
    </row>
    <row r="136" ht="22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28"/>
      <c r="U136" s="28"/>
      <c r="V136" s="29"/>
      <c r="W136" s="32"/>
      <c r="X136" s="32"/>
      <c r="Y136" s="31"/>
    </row>
    <row r="137" ht="22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28"/>
      <c r="U137" s="28"/>
      <c r="V137" s="29"/>
      <c r="W137" s="32"/>
      <c r="X137" s="32"/>
      <c r="Y137" s="31"/>
    </row>
    <row r="138" ht="22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28"/>
      <c r="U138" s="28"/>
      <c r="V138" s="29"/>
      <c r="W138" s="32"/>
      <c r="X138" s="32"/>
      <c r="Y138" s="31"/>
    </row>
    <row r="139" ht="22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28"/>
      <c r="U139" s="28"/>
      <c r="V139" s="29"/>
      <c r="W139" s="32"/>
      <c r="X139" s="32"/>
      <c r="Y139" s="31"/>
    </row>
    <row r="140" ht="22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28"/>
      <c r="U140" s="28"/>
      <c r="V140" s="29"/>
      <c r="W140" s="32"/>
      <c r="X140" s="32"/>
      <c r="Y140" s="31"/>
    </row>
    <row r="141" ht="22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28"/>
      <c r="U141" s="28"/>
      <c r="V141" s="29"/>
      <c r="W141" s="32"/>
      <c r="X141" s="32"/>
      <c r="Y141" s="31"/>
    </row>
    <row r="142" ht="22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28"/>
      <c r="U142" s="28"/>
      <c r="V142" s="29"/>
      <c r="W142" s="32"/>
      <c r="X142" s="32"/>
      <c r="Y142" s="31"/>
    </row>
    <row r="143" ht="22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28"/>
      <c r="U143" s="28"/>
      <c r="V143" s="29"/>
      <c r="W143" s="32"/>
      <c r="X143" s="32"/>
      <c r="Y143" s="31"/>
    </row>
    <row r="144" ht="22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28"/>
      <c r="U144" s="28"/>
      <c r="V144" s="29"/>
      <c r="W144" s="32"/>
      <c r="X144" s="32"/>
      <c r="Y144" s="31"/>
    </row>
    <row r="145" ht="22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28"/>
      <c r="U145" s="28"/>
      <c r="V145" s="29"/>
      <c r="W145" s="32"/>
      <c r="X145" s="32"/>
      <c r="Y145" s="31"/>
    </row>
    <row r="146" ht="22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28"/>
      <c r="U146" s="28"/>
      <c r="V146" s="29"/>
      <c r="W146" s="32"/>
      <c r="X146" s="32"/>
      <c r="Y146" s="31"/>
    </row>
    <row r="147" ht="22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28"/>
      <c r="U147" s="28"/>
      <c r="V147" s="29"/>
      <c r="W147" s="32"/>
      <c r="X147" s="32"/>
      <c r="Y147" s="31"/>
    </row>
    <row r="148" ht="22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28"/>
      <c r="U148" s="28"/>
      <c r="V148" s="29"/>
      <c r="W148" s="32"/>
      <c r="X148" s="32"/>
      <c r="Y148" s="31"/>
    </row>
    <row r="149" ht="22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28"/>
      <c r="U149" s="28"/>
      <c r="V149" s="29"/>
      <c r="W149" s="32"/>
      <c r="X149" s="32"/>
      <c r="Y149" s="31"/>
    </row>
    <row r="150" ht="22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28"/>
      <c r="U150" s="28"/>
      <c r="V150" s="29"/>
      <c r="W150" s="32"/>
      <c r="X150" s="32"/>
      <c r="Y150" s="31"/>
    </row>
    <row r="151" ht="22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28"/>
      <c r="U151" s="28"/>
      <c r="V151" s="29"/>
      <c r="W151" s="32"/>
      <c r="X151" s="32"/>
      <c r="Y151" s="31"/>
    </row>
    <row r="152" ht="22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28"/>
      <c r="U152" s="28"/>
      <c r="V152" s="29"/>
      <c r="W152" s="32"/>
      <c r="X152" s="32"/>
      <c r="Y152" s="31"/>
    </row>
    <row r="153" ht="22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28"/>
      <c r="U153" s="28"/>
      <c r="V153" s="29"/>
      <c r="W153" s="32"/>
      <c r="X153" s="32"/>
      <c r="Y153" s="31"/>
    </row>
    <row r="154" ht="22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28"/>
      <c r="U154" s="28"/>
      <c r="V154" s="29"/>
      <c r="W154" s="32"/>
      <c r="X154" s="32"/>
      <c r="Y154" s="31"/>
    </row>
    <row r="155" ht="22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28"/>
      <c r="U155" s="28"/>
      <c r="V155" s="29"/>
      <c r="W155" s="32"/>
      <c r="X155" s="32"/>
      <c r="Y155" s="31"/>
    </row>
    <row r="156" ht="22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28"/>
      <c r="U156" s="28"/>
      <c r="V156" s="29"/>
      <c r="W156" s="32"/>
      <c r="X156" s="32"/>
      <c r="Y156" s="31"/>
    </row>
    <row r="157" ht="22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28"/>
      <c r="U157" s="28"/>
      <c r="V157" s="29"/>
      <c r="W157" s="32"/>
      <c r="X157" s="32"/>
      <c r="Y157" s="31"/>
    </row>
    <row r="158" ht="22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28"/>
      <c r="U158" s="28"/>
      <c r="V158" s="29"/>
      <c r="W158" s="32"/>
      <c r="X158" s="32"/>
      <c r="Y158" s="31"/>
    </row>
    <row r="159" ht="22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28"/>
      <c r="U159" s="28"/>
      <c r="V159" s="29"/>
      <c r="W159" s="32"/>
      <c r="X159" s="32"/>
      <c r="Y159" s="31"/>
    </row>
    <row r="160" ht="22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28"/>
      <c r="U160" s="28"/>
      <c r="V160" s="29"/>
      <c r="W160" s="32"/>
      <c r="X160" s="32"/>
      <c r="Y160" s="31"/>
    </row>
    <row r="161" ht="22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28"/>
      <c r="U161" s="28"/>
      <c r="V161" s="29"/>
      <c r="W161" s="32"/>
      <c r="X161" s="32"/>
      <c r="Y161" s="31"/>
    </row>
    <row r="162" ht="22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28"/>
      <c r="U162" s="28"/>
      <c r="V162" s="29"/>
      <c r="W162" s="32"/>
      <c r="X162" s="32"/>
      <c r="Y162" s="31"/>
    </row>
    <row r="163" ht="22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28"/>
      <c r="U163" s="28"/>
      <c r="V163" s="29"/>
      <c r="W163" s="32"/>
      <c r="X163" s="32"/>
      <c r="Y163" s="31"/>
    </row>
    <row r="164" ht="22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28"/>
      <c r="U164" s="28"/>
      <c r="V164" s="29"/>
      <c r="W164" s="32"/>
      <c r="X164" s="32"/>
      <c r="Y164" s="31"/>
    </row>
    <row r="165" ht="22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28"/>
      <c r="U165" s="28"/>
      <c r="V165" s="29"/>
      <c r="W165" s="32"/>
      <c r="X165" s="32"/>
      <c r="Y165" s="31"/>
    </row>
    <row r="166" ht="22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28"/>
      <c r="U166" s="28"/>
      <c r="V166" s="29"/>
      <c r="W166" s="32"/>
      <c r="X166" s="32"/>
      <c r="Y166" s="31"/>
    </row>
    <row r="167" ht="22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28"/>
      <c r="U167" s="28"/>
      <c r="V167" s="29"/>
      <c r="W167" s="32"/>
      <c r="X167" s="32"/>
      <c r="Y167" s="31"/>
    </row>
    <row r="168" ht="22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28"/>
      <c r="U168" s="28"/>
      <c r="V168" s="29"/>
      <c r="W168" s="32"/>
      <c r="X168" s="32"/>
      <c r="Y168" s="31"/>
    </row>
    <row r="169" ht="22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28"/>
      <c r="U169" s="28"/>
      <c r="V169" s="29"/>
      <c r="W169" s="32"/>
      <c r="X169" s="32"/>
      <c r="Y169" s="31"/>
    </row>
    <row r="170" ht="22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28"/>
      <c r="U170" s="28"/>
      <c r="V170" s="29"/>
      <c r="W170" s="32"/>
      <c r="X170" s="32"/>
      <c r="Y170" s="31"/>
    </row>
    <row r="171" ht="22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28"/>
      <c r="U171" s="28"/>
      <c r="V171" s="29"/>
      <c r="W171" s="32"/>
      <c r="X171" s="32"/>
      <c r="Y171" s="31"/>
    </row>
    <row r="172" ht="22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28"/>
      <c r="U172" s="28"/>
      <c r="V172" s="29"/>
      <c r="W172" s="32"/>
      <c r="X172" s="32"/>
      <c r="Y172" s="31"/>
    </row>
    <row r="173" ht="22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28"/>
      <c r="U173" s="28"/>
      <c r="V173" s="29"/>
      <c r="W173" s="32"/>
      <c r="X173" s="32"/>
      <c r="Y173" s="31"/>
    </row>
    <row r="174" ht="22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28"/>
      <c r="U174" s="28"/>
      <c r="V174" s="29"/>
      <c r="W174" s="32"/>
      <c r="X174" s="32"/>
      <c r="Y174" s="31"/>
    </row>
    <row r="175" ht="22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28"/>
      <c r="U175" s="28"/>
      <c r="V175" s="29"/>
      <c r="W175" s="32"/>
      <c r="X175" s="32"/>
      <c r="Y175" s="31"/>
    </row>
    <row r="176" ht="22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28"/>
      <c r="U176" s="28"/>
      <c r="V176" s="29"/>
      <c r="W176" s="32"/>
      <c r="X176" s="32"/>
      <c r="Y176" s="31"/>
    </row>
    <row r="177" ht="22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28"/>
      <c r="U177" s="28"/>
      <c r="V177" s="29"/>
      <c r="W177" s="32"/>
      <c r="X177" s="32"/>
      <c r="Y177" s="31"/>
    </row>
    <row r="178" ht="22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28"/>
      <c r="U178" s="28"/>
      <c r="V178" s="29"/>
      <c r="W178" s="32"/>
      <c r="X178" s="32"/>
      <c r="Y178" s="31"/>
    </row>
    <row r="179" ht="22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28"/>
      <c r="U179" s="28"/>
      <c r="V179" s="29"/>
      <c r="W179" s="32"/>
      <c r="X179" s="32"/>
      <c r="Y179" s="31"/>
    </row>
    <row r="180" ht="22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28"/>
      <c r="U180" s="28"/>
      <c r="V180" s="29"/>
      <c r="W180" s="32"/>
      <c r="X180" s="32"/>
      <c r="Y180" s="31"/>
    </row>
    <row r="181" ht="22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28"/>
      <c r="U181" s="28"/>
      <c r="V181" s="29"/>
      <c r="W181" s="32"/>
      <c r="X181" s="32"/>
      <c r="Y181" s="31"/>
    </row>
    <row r="182" ht="22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28"/>
      <c r="U182" s="28"/>
      <c r="V182" s="29"/>
      <c r="W182" s="32"/>
      <c r="X182" s="32"/>
      <c r="Y182" s="31"/>
    </row>
    <row r="183" ht="22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28"/>
      <c r="U183" s="28"/>
      <c r="V183" s="29"/>
      <c r="W183" s="32"/>
      <c r="X183" s="32"/>
      <c r="Y183" s="31"/>
    </row>
    <row r="184" ht="22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28"/>
      <c r="U184" s="28"/>
      <c r="V184" s="29"/>
      <c r="W184" s="32"/>
      <c r="X184" s="32"/>
      <c r="Y184" s="31"/>
    </row>
    <row r="185" ht="22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28"/>
      <c r="U185" s="28"/>
      <c r="V185" s="29"/>
      <c r="W185" s="32"/>
      <c r="X185" s="32"/>
      <c r="Y185" s="31"/>
    </row>
    <row r="186" ht="22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28"/>
      <c r="U186" s="28"/>
      <c r="V186" s="29"/>
      <c r="W186" s="32"/>
      <c r="X186" s="32"/>
      <c r="Y186" s="31"/>
    </row>
    <row r="187" ht="22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28"/>
      <c r="U187" s="28"/>
      <c r="V187" s="29"/>
      <c r="W187" s="32"/>
      <c r="X187" s="32"/>
      <c r="Y187" s="31"/>
    </row>
    <row r="188" ht="22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28"/>
      <c r="U188" s="28"/>
      <c r="V188" s="29"/>
      <c r="W188" s="32"/>
      <c r="X188" s="32"/>
      <c r="Y188" s="31"/>
    </row>
    <row r="189" ht="22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28"/>
      <c r="U189" s="28"/>
      <c r="V189" s="29"/>
      <c r="W189" s="32"/>
      <c r="X189" s="32"/>
      <c r="Y189" s="31"/>
    </row>
    <row r="190" ht="22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28"/>
      <c r="U190" s="28"/>
      <c r="V190" s="29"/>
      <c r="W190" s="32"/>
      <c r="X190" s="32"/>
      <c r="Y190" s="31"/>
    </row>
    <row r="191" ht="22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28"/>
      <c r="U191" s="28"/>
      <c r="V191" s="29"/>
      <c r="W191" s="32"/>
      <c r="X191" s="32"/>
      <c r="Y191" s="31"/>
    </row>
    <row r="192" ht="22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28"/>
      <c r="U192" s="28"/>
      <c r="V192" s="29"/>
      <c r="W192" s="32"/>
      <c r="X192" s="32"/>
      <c r="Y192" s="31"/>
    </row>
    <row r="193" ht="22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28"/>
      <c r="U193" s="28"/>
      <c r="V193" s="29"/>
      <c r="W193" s="32"/>
      <c r="X193" s="32"/>
      <c r="Y193" s="31"/>
    </row>
    <row r="194" ht="22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28"/>
      <c r="U194" s="28"/>
      <c r="V194" s="29"/>
      <c r="W194" s="32"/>
      <c r="X194" s="32"/>
      <c r="Y194" s="31"/>
    </row>
    <row r="195" ht="22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28"/>
      <c r="U195" s="28"/>
      <c r="V195" s="29"/>
      <c r="W195" s="32"/>
      <c r="X195" s="32"/>
      <c r="Y195" s="31"/>
    </row>
    <row r="196" ht="22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28"/>
      <c r="U196" s="28"/>
      <c r="V196" s="29"/>
      <c r="W196" s="32"/>
      <c r="X196" s="32"/>
      <c r="Y196" s="31"/>
    </row>
    <row r="197" ht="22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28"/>
      <c r="U197" s="28"/>
      <c r="V197" s="29"/>
      <c r="W197" s="32"/>
      <c r="X197" s="32"/>
      <c r="Y197" s="31"/>
    </row>
    <row r="198" ht="22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28"/>
      <c r="U198" s="28"/>
      <c r="V198" s="29"/>
      <c r="W198" s="32"/>
      <c r="X198" s="32"/>
      <c r="Y198" s="31"/>
    </row>
    <row r="199" ht="22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28"/>
      <c r="U199" s="28"/>
      <c r="V199" s="29"/>
      <c r="W199" s="32"/>
      <c r="X199" s="32"/>
      <c r="Y199" s="31"/>
    </row>
    <row r="200" ht="22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28"/>
      <c r="U200" s="28"/>
      <c r="V200" s="29"/>
      <c r="W200" s="32"/>
      <c r="X200" s="32"/>
      <c r="Y200" s="31"/>
    </row>
    <row r="201" ht="22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28"/>
      <c r="U201" s="28"/>
      <c r="V201" s="29"/>
      <c r="W201" s="32"/>
      <c r="X201" s="32"/>
      <c r="Y201" s="31"/>
    </row>
    <row r="202" ht="22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28"/>
      <c r="U202" s="28"/>
      <c r="V202" s="29"/>
      <c r="W202" s="32"/>
      <c r="X202" s="32"/>
      <c r="Y202" s="31"/>
    </row>
    <row r="203" ht="22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28"/>
      <c r="U203" s="28"/>
      <c r="V203" s="29"/>
      <c r="W203" s="32"/>
      <c r="X203" s="32"/>
      <c r="Y203" s="31"/>
    </row>
    <row r="204" ht="22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28"/>
      <c r="U204" s="28"/>
      <c r="V204" s="29"/>
      <c r="W204" s="32"/>
      <c r="X204" s="32"/>
      <c r="Y204" s="31"/>
    </row>
    <row r="205" ht="22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28"/>
      <c r="U205" s="28"/>
      <c r="V205" s="29"/>
      <c r="W205" s="32"/>
      <c r="X205" s="32"/>
      <c r="Y205" s="31"/>
    </row>
    <row r="206" ht="22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28"/>
      <c r="U206" s="28"/>
      <c r="V206" s="29"/>
      <c r="W206" s="32"/>
      <c r="X206" s="32"/>
      <c r="Y206" s="31"/>
    </row>
    <row r="207" ht="22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28"/>
      <c r="U207" s="28"/>
      <c r="V207" s="29"/>
      <c r="W207" s="32"/>
      <c r="X207" s="32"/>
      <c r="Y207" s="31"/>
    </row>
    <row r="208" ht="22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28"/>
      <c r="U208" s="28"/>
      <c r="V208" s="29"/>
      <c r="W208" s="32"/>
      <c r="X208" s="32"/>
      <c r="Y208" s="31"/>
    </row>
    <row r="209" ht="22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28"/>
      <c r="U209" s="28"/>
      <c r="V209" s="29"/>
      <c r="W209" s="32"/>
      <c r="X209" s="32"/>
      <c r="Y209" s="31"/>
    </row>
    <row r="210" ht="22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28"/>
      <c r="U210" s="28"/>
      <c r="V210" s="29"/>
      <c r="W210" s="32"/>
      <c r="X210" s="32"/>
      <c r="Y210" s="31"/>
    </row>
    <row r="211" ht="22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28"/>
      <c r="U211" s="28"/>
      <c r="V211" s="29"/>
      <c r="W211" s="32"/>
      <c r="X211" s="32"/>
      <c r="Y211" s="31"/>
    </row>
    <row r="212" ht="22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28"/>
      <c r="U212" s="28"/>
      <c r="V212" s="29"/>
      <c r="W212" s="32"/>
      <c r="X212" s="32"/>
      <c r="Y212" s="31"/>
    </row>
    <row r="213" ht="22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28"/>
      <c r="U213" s="28"/>
      <c r="V213" s="29"/>
      <c r="W213" s="32"/>
      <c r="X213" s="32"/>
      <c r="Y213" s="31"/>
    </row>
    <row r="214" ht="22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28"/>
      <c r="U214" s="28"/>
      <c r="V214" s="29"/>
      <c r="W214" s="32"/>
      <c r="X214" s="32"/>
      <c r="Y214" s="31"/>
    </row>
    <row r="215" ht="22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28"/>
      <c r="U215" s="28"/>
      <c r="V215" s="29"/>
      <c r="W215" s="32"/>
      <c r="X215" s="32"/>
      <c r="Y215" s="31"/>
    </row>
    <row r="216" ht="22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28"/>
      <c r="U216" s="28"/>
      <c r="V216" s="29"/>
      <c r="W216" s="32"/>
      <c r="X216" s="32"/>
      <c r="Y216" s="31"/>
    </row>
    <row r="217" ht="22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28"/>
      <c r="U217" s="28"/>
      <c r="V217" s="29"/>
      <c r="W217" s="32"/>
      <c r="X217" s="32"/>
      <c r="Y217" s="31"/>
    </row>
    <row r="218" ht="22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28"/>
      <c r="U218" s="28"/>
      <c r="V218" s="29"/>
      <c r="W218" s="32"/>
      <c r="X218" s="32"/>
      <c r="Y218" s="31"/>
    </row>
    <row r="219" ht="22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28"/>
      <c r="U219" s="28"/>
      <c r="V219" s="29"/>
      <c r="W219" s="32"/>
      <c r="X219" s="32"/>
      <c r="Y219" s="31"/>
    </row>
    <row r="220" ht="22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28"/>
      <c r="U220" s="28"/>
      <c r="V220" s="29"/>
      <c r="W220" s="32"/>
      <c r="X220" s="32"/>
      <c r="Y220" s="31"/>
    </row>
    <row r="221" ht="22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28"/>
      <c r="U221" s="28"/>
      <c r="V221" s="29"/>
      <c r="W221" s="32"/>
      <c r="X221" s="32"/>
      <c r="Y221" s="31"/>
    </row>
    <row r="222" ht="22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28"/>
      <c r="U222" s="28"/>
      <c r="V222" s="29"/>
      <c r="W222" s="32"/>
      <c r="X222" s="32"/>
      <c r="Y222" s="31"/>
    </row>
    <row r="223" ht="22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28"/>
      <c r="U223" s="28"/>
      <c r="V223" s="29"/>
      <c r="W223" s="32"/>
      <c r="X223" s="32"/>
      <c r="Y223" s="31"/>
    </row>
    <row r="224" ht="22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28"/>
      <c r="U224" s="28"/>
      <c r="V224" s="29"/>
      <c r="W224" s="32"/>
      <c r="X224" s="32"/>
      <c r="Y224" s="31"/>
    </row>
    <row r="225" ht="22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28"/>
      <c r="U225" s="28"/>
      <c r="V225" s="29"/>
      <c r="W225" s="32"/>
      <c r="X225" s="32"/>
      <c r="Y225" s="31"/>
    </row>
    <row r="226" ht="22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28"/>
      <c r="U226" s="28"/>
      <c r="V226" s="29"/>
      <c r="W226" s="32"/>
      <c r="X226" s="32"/>
      <c r="Y226" s="31"/>
    </row>
    <row r="227" ht="22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28"/>
      <c r="U227" s="28"/>
      <c r="V227" s="29"/>
      <c r="W227" s="32"/>
      <c r="X227" s="32"/>
      <c r="Y227" s="31"/>
    </row>
    <row r="228" ht="22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28"/>
      <c r="U228" s="28"/>
      <c r="V228" s="29"/>
      <c r="W228" s="32"/>
      <c r="X228" s="32"/>
      <c r="Y228" s="31"/>
    </row>
    <row r="229" ht="22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28"/>
      <c r="U229" s="28"/>
      <c r="V229" s="29"/>
      <c r="W229" s="32"/>
      <c r="X229" s="32"/>
      <c r="Y229" s="31"/>
    </row>
    <row r="230" ht="22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28"/>
      <c r="U230" s="28"/>
      <c r="V230" s="29"/>
      <c r="W230" s="32"/>
      <c r="X230" s="32"/>
      <c r="Y230" s="31"/>
    </row>
    <row r="231" ht="22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28"/>
      <c r="U231" s="28"/>
      <c r="V231" s="29"/>
      <c r="W231" s="32"/>
      <c r="X231" s="32"/>
      <c r="Y231" s="31"/>
    </row>
    <row r="232" ht="22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28"/>
      <c r="U232" s="28"/>
      <c r="V232" s="29"/>
      <c r="W232" s="32"/>
      <c r="X232" s="32"/>
      <c r="Y232" s="31"/>
    </row>
    <row r="233" ht="22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28"/>
      <c r="U233" s="28"/>
      <c r="V233" s="29"/>
      <c r="W233" s="32"/>
      <c r="X233" s="32"/>
      <c r="Y233" s="31"/>
    </row>
    <row r="234" ht="22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28"/>
      <c r="U234" s="28"/>
      <c r="V234" s="29"/>
      <c r="W234" s="32"/>
      <c r="X234" s="32"/>
      <c r="Y234" s="31"/>
    </row>
    <row r="235" ht="22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28"/>
      <c r="U235" s="28"/>
      <c r="V235" s="29"/>
      <c r="W235" s="32"/>
      <c r="X235" s="32"/>
      <c r="Y235" s="31"/>
    </row>
    <row r="236" ht="22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28"/>
      <c r="U236" s="28"/>
      <c r="V236" s="29"/>
      <c r="W236" s="32"/>
      <c r="X236" s="32"/>
      <c r="Y236" s="31"/>
    </row>
    <row r="237" ht="22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28"/>
      <c r="U237" s="28"/>
      <c r="V237" s="29"/>
      <c r="W237" s="32"/>
      <c r="X237" s="32"/>
      <c r="Y237" s="31"/>
    </row>
    <row r="238" ht="22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28"/>
      <c r="U238" s="28"/>
      <c r="V238" s="29"/>
      <c r="W238" s="32"/>
      <c r="X238" s="32"/>
      <c r="Y238" s="31"/>
    </row>
    <row r="239" ht="22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28"/>
      <c r="U239" s="28"/>
      <c r="V239" s="29"/>
      <c r="W239" s="32"/>
      <c r="X239" s="32"/>
      <c r="Y239" s="31"/>
    </row>
    <row r="240" ht="22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28"/>
      <c r="U240" s="28"/>
      <c r="V240" s="29"/>
      <c r="W240" s="32"/>
      <c r="X240" s="32"/>
      <c r="Y240" s="31"/>
    </row>
    <row r="241" ht="22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28"/>
      <c r="U241" s="28"/>
      <c r="V241" s="29"/>
      <c r="W241" s="32"/>
      <c r="X241" s="32"/>
      <c r="Y241" s="31"/>
    </row>
    <row r="242" ht="22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28"/>
      <c r="U242" s="28"/>
      <c r="V242" s="29"/>
      <c r="W242" s="32"/>
      <c r="X242" s="32"/>
      <c r="Y242" s="31"/>
    </row>
    <row r="243" ht="22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28"/>
      <c r="U243" s="28"/>
      <c r="V243" s="29"/>
      <c r="W243" s="32"/>
      <c r="X243" s="32"/>
      <c r="Y243" s="31"/>
    </row>
    <row r="244" ht="22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28"/>
      <c r="U244" s="28"/>
      <c r="V244" s="29"/>
      <c r="W244" s="32"/>
      <c r="X244" s="32"/>
      <c r="Y244" s="31"/>
    </row>
    <row r="245" ht="22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28"/>
      <c r="U245" s="28"/>
      <c r="V245" s="29"/>
      <c r="W245" s="32"/>
      <c r="X245" s="32"/>
      <c r="Y245" s="31"/>
    </row>
    <row r="246" ht="22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28"/>
      <c r="U246" s="28"/>
      <c r="V246" s="29"/>
      <c r="W246" s="32"/>
      <c r="X246" s="32"/>
      <c r="Y246" s="31"/>
    </row>
    <row r="247" ht="22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28"/>
      <c r="U247" s="28"/>
      <c r="V247" s="29"/>
      <c r="W247" s="32"/>
      <c r="X247" s="32"/>
      <c r="Y247" s="31"/>
    </row>
    <row r="248" ht="22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28"/>
      <c r="U248" s="28"/>
      <c r="V248" s="29"/>
      <c r="W248" s="32"/>
      <c r="X248" s="32"/>
      <c r="Y248" s="31"/>
    </row>
    <row r="249" ht="22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28"/>
      <c r="U249" s="28"/>
      <c r="V249" s="29"/>
      <c r="W249" s="32"/>
      <c r="X249" s="32"/>
      <c r="Y249" s="31"/>
    </row>
    <row r="250" ht="22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28"/>
      <c r="U250" s="28"/>
      <c r="V250" s="29"/>
      <c r="W250" s="32"/>
      <c r="X250" s="32"/>
      <c r="Y250" s="31"/>
    </row>
    <row r="251" ht="22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28"/>
      <c r="U251" s="28"/>
      <c r="V251" s="29"/>
      <c r="W251" s="32"/>
      <c r="X251" s="32"/>
      <c r="Y251" s="31"/>
    </row>
    <row r="252" ht="22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28"/>
      <c r="U252" s="28"/>
      <c r="V252" s="29"/>
      <c r="W252" s="32"/>
      <c r="X252" s="32"/>
      <c r="Y252" s="31"/>
    </row>
    <row r="253" ht="22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28"/>
      <c r="U253" s="28"/>
      <c r="V253" s="29"/>
      <c r="W253" s="32"/>
      <c r="X253" s="32"/>
      <c r="Y253" s="31"/>
    </row>
    <row r="254" ht="22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28"/>
      <c r="U254" s="28"/>
      <c r="V254" s="29"/>
      <c r="W254" s="32"/>
      <c r="X254" s="32"/>
      <c r="Y254" s="31"/>
    </row>
    <row r="255" ht="22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28"/>
      <c r="U255" s="28"/>
      <c r="V255" s="29"/>
      <c r="W255" s="32"/>
      <c r="X255" s="32"/>
      <c r="Y255" s="31"/>
    </row>
    <row r="256" ht="22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28"/>
      <c r="U256" s="28"/>
      <c r="V256" s="29"/>
      <c r="W256" s="32"/>
      <c r="X256" s="32"/>
      <c r="Y256" s="31"/>
    </row>
    <row r="257" ht="22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28"/>
      <c r="U257" s="28"/>
      <c r="V257" s="29"/>
      <c r="W257" s="32"/>
      <c r="X257" s="32"/>
      <c r="Y257" s="31"/>
    </row>
    <row r="258" ht="22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28"/>
      <c r="U258" s="28"/>
      <c r="V258" s="29"/>
      <c r="W258" s="32"/>
      <c r="X258" s="32"/>
      <c r="Y258" s="31"/>
    </row>
    <row r="259" ht="22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28"/>
      <c r="U259" s="28"/>
      <c r="V259" s="29"/>
      <c r="W259" s="32"/>
      <c r="X259" s="32"/>
      <c r="Y259" s="31"/>
    </row>
    <row r="260" ht="22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28"/>
      <c r="U260" s="28"/>
      <c r="V260" s="29"/>
      <c r="W260" s="32"/>
      <c r="X260" s="32"/>
      <c r="Y260" s="31"/>
    </row>
    <row r="261" ht="22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28"/>
      <c r="U261" s="28"/>
      <c r="V261" s="29"/>
      <c r="W261" s="32"/>
      <c r="X261" s="32"/>
      <c r="Y261" s="31"/>
    </row>
    <row r="262" ht="22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28"/>
      <c r="U262" s="28"/>
      <c r="V262" s="29"/>
      <c r="W262" s="32"/>
      <c r="X262" s="32"/>
      <c r="Y262" s="31"/>
    </row>
    <row r="263" ht="22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28"/>
      <c r="U263" s="28"/>
      <c r="V263" s="29"/>
      <c r="W263" s="32"/>
      <c r="X263" s="32"/>
      <c r="Y263" s="31"/>
    </row>
    <row r="264" ht="22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28"/>
      <c r="U264" s="28"/>
      <c r="V264" s="29"/>
      <c r="W264" s="32"/>
      <c r="X264" s="32"/>
      <c r="Y264" s="31"/>
    </row>
    <row r="265" ht="22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28"/>
      <c r="U265" s="28"/>
      <c r="V265" s="29"/>
      <c r="W265" s="32"/>
      <c r="X265" s="32"/>
      <c r="Y265" s="31"/>
    </row>
    <row r="266" ht="22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28"/>
      <c r="U266" s="28"/>
      <c r="V266" s="29"/>
      <c r="W266" s="32"/>
      <c r="X266" s="32"/>
      <c r="Y266" s="31"/>
    </row>
    <row r="267" ht="22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28"/>
      <c r="U267" s="28"/>
      <c r="V267" s="29"/>
      <c r="W267" s="32"/>
      <c r="X267" s="32"/>
      <c r="Y267" s="31"/>
    </row>
    <row r="268" ht="22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28"/>
      <c r="U268" s="28"/>
      <c r="V268" s="29"/>
      <c r="W268" s="32"/>
      <c r="X268" s="32"/>
      <c r="Y268" s="31"/>
    </row>
    <row r="269" ht="22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28"/>
      <c r="U269" s="28"/>
      <c r="V269" s="29"/>
      <c r="W269" s="32"/>
      <c r="X269" s="32"/>
      <c r="Y269" s="31"/>
    </row>
    <row r="270" ht="22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28"/>
      <c r="U270" s="28"/>
      <c r="V270" s="29"/>
      <c r="W270" s="32"/>
      <c r="X270" s="32"/>
      <c r="Y270" s="31"/>
    </row>
    <row r="271" ht="22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28"/>
      <c r="U271" s="28"/>
      <c r="V271" s="29"/>
      <c r="W271" s="32"/>
      <c r="X271" s="32"/>
      <c r="Y271" s="31"/>
    </row>
    <row r="272" ht="22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28"/>
      <c r="U272" s="28"/>
      <c r="V272" s="29"/>
      <c r="W272" s="32"/>
      <c r="X272" s="32"/>
      <c r="Y272" s="31"/>
    </row>
    <row r="273" ht="22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28"/>
      <c r="U273" s="28"/>
      <c r="V273" s="29"/>
      <c r="W273" s="32"/>
      <c r="X273" s="32"/>
      <c r="Y273" s="31"/>
    </row>
    <row r="274" ht="22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28"/>
      <c r="U274" s="28"/>
      <c r="V274" s="29"/>
      <c r="W274" s="32"/>
      <c r="X274" s="32"/>
      <c r="Y274" s="31"/>
    </row>
    <row r="275" ht="22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28"/>
      <c r="U275" s="28"/>
      <c r="V275" s="29"/>
      <c r="W275" s="32"/>
      <c r="X275" s="32"/>
      <c r="Y275" s="31"/>
    </row>
    <row r="276" ht="22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28"/>
      <c r="U276" s="28"/>
      <c r="V276" s="29"/>
      <c r="W276" s="32"/>
      <c r="X276" s="32"/>
      <c r="Y276" s="31"/>
    </row>
    <row r="277" ht="22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28"/>
      <c r="U277" s="28"/>
      <c r="V277" s="29"/>
      <c r="W277" s="32"/>
      <c r="X277" s="32"/>
      <c r="Y277" s="31"/>
    </row>
    <row r="278" ht="22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28"/>
      <c r="U278" s="28"/>
      <c r="V278" s="29"/>
      <c r="W278" s="32"/>
      <c r="X278" s="32"/>
      <c r="Y278" s="31"/>
    </row>
    <row r="279" ht="22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28"/>
      <c r="U279" s="28"/>
      <c r="V279" s="29"/>
      <c r="W279" s="32"/>
      <c r="X279" s="32"/>
      <c r="Y279" s="31"/>
    </row>
    <row r="280" ht="22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28"/>
      <c r="U280" s="28"/>
      <c r="V280" s="29"/>
      <c r="W280" s="32"/>
      <c r="X280" s="32"/>
      <c r="Y280" s="31"/>
    </row>
    <row r="281" ht="22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28"/>
      <c r="U281" s="28"/>
      <c r="V281" s="29"/>
      <c r="W281" s="32"/>
      <c r="X281" s="32"/>
      <c r="Y281" s="31"/>
    </row>
    <row r="282" ht="22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28"/>
      <c r="U282" s="28"/>
      <c r="V282" s="29"/>
      <c r="W282" s="32"/>
      <c r="X282" s="32"/>
      <c r="Y282" s="31"/>
    </row>
    <row r="283" ht="22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28"/>
      <c r="U283" s="28"/>
      <c r="V283" s="29"/>
      <c r="W283" s="32"/>
      <c r="X283" s="32"/>
      <c r="Y283" s="31"/>
    </row>
    <row r="284" ht="22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28"/>
      <c r="U284" s="28"/>
      <c r="V284" s="29"/>
      <c r="W284" s="32"/>
      <c r="X284" s="32"/>
      <c r="Y284" s="31"/>
    </row>
    <row r="285" ht="22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28"/>
      <c r="U285" s="28"/>
      <c r="V285" s="29"/>
      <c r="W285" s="32"/>
      <c r="X285" s="32"/>
      <c r="Y285" s="31"/>
    </row>
    <row r="286" ht="22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28"/>
      <c r="U286" s="28"/>
      <c r="V286" s="29"/>
      <c r="W286" s="32"/>
      <c r="X286" s="32"/>
      <c r="Y286" s="31"/>
    </row>
    <row r="287" ht="22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28"/>
      <c r="U287" s="28"/>
      <c r="V287" s="29"/>
      <c r="W287" s="32"/>
      <c r="X287" s="32"/>
      <c r="Y287" s="31"/>
    </row>
    <row r="288" ht="22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28"/>
      <c r="U288" s="28"/>
      <c r="V288" s="29"/>
      <c r="W288" s="32"/>
      <c r="X288" s="32"/>
      <c r="Y288" s="31"/>
    </row>
    <row r="289" ht="22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28"/>
      <c r="U289" s="28"/>
      <c r="V289" s="29"/>
      <c r="W289" s="32"/>
      <c r="X289" s="32"/>
      <c r="Y289" s="31"/>
    </row>
    <row r="290" ht="22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28"/>
      <c r="U290" s="28"/>
      <c r="V290" s="29"/>
      <c r="W290" s="32"/>
      <c r="X290" s="32"/>
      <c r="Y290" s="31"/>
    </row>
    <row r="291" ht="22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28"/>
      <c r="U291" s="28"/>
      <c r="V291" s="29"/>
      <c r="W291" s="32"/>
      <c r="X291" s="32"/>
      <c r="Y291" s="31"/>
    </row>
    <row r="292" ht="22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28"/>
      <c r="U292" s="28"/>
      <c r="V292" s="29"/>
      <c r="W292" s="32"/>
      <c r="X292" s="32"/>
      <c r="Y292" s="31"/>
    </row>
    <row r="293" ht="22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28"/>
      <c r="U293" s="28"/>
      <c r="V293" s="29"/>
      <c r="W293" s="32"/>
      <c r="X293" s="32"/>
      <c r="Y293" s="31"/>
    </row>
    <row r="294" ht="22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28"/>
      <c r="U294" s="28"/>
      <c r="V294" s="29"/>
      <c r="W294" s="32"/>
      <c r="X294" s="32"/>
      <c r="Y294" s="31"/>
    </row>
    <row r="295" ht="22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28"/>
      <c r="U295" s="28"/>
      <c r="V295" s="29"/>
      <c r="W295" s="32"/>
      <c r="X295" s="32"/>
      <c r="Y295" s="31"/>
    </row>
    <row r="296" ht="22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28"/>
      <c r="U296" s="28"/>
      <c r="V296" s="29"/>
      <c r="W296" s="32"/>
      <c r="X296" s="32"/>
      <c r="Y296" s="31"/>
    </row>
    <row r="297" ht="22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28"/>
      <c r="U297" s="28"/>
      <c r="V297" s="29"/>
      <c r="W297" s="32"/>
      <c r="X297" s="32"/>
      <c r="Y297" s="31"/>
    </row>
    <row r="298" ht="22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28"/>
      <c r="U298" s="28"/>
      <c r="V298" s="29"/>
      <c r="W298" s="32"/>
      <c r="X298" s="32"/>
      <c r="Y298" s="31"/>
    </row>
    <row r="299" ht="22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28"/>
      <c r="U299" s="28"/>
      <c r="V299" s="29"/>
      <c r="W299" s="32"/>
      <c r="X299" s="32"/>
      <c r="Y299" s="31"/>
    </row>
    <row r="300" ht="22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28"/>
      <c r="U300" s="28"/>
      <c r="V300" s="29"/>
      <c r="W300" s="32"/>
      <c r="X300" s="32"/>
      <c r="Y300" s="31"/>
    </row>
    <row r="301" ht="22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28"/>
      <c r="U301" s="28"/>
      <c r="V301" s="29"/>
      <c r="W301" s="32"/>
      <c r="X301" s="32"/>
      <c r="Y301" s="31"/>
    </row>
    <row r="302" ht="22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28"/>
      <c r="U302" s="28"/>
      <c r="V302" s="29"/>
      <c r="W302" s="32"/>
      <c r="X302" s="32"/>
      <c r="Y302" s="31"/>
    </row>
    <row r="303" ht="22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28"/>
      <c r="U303" s="28"/>
      <c r="V303" s="29"/>
      <c r="W303" s="32"/>
      <c r="X303" s="32"/>
      <c r="Y303" s="31"/>
    </row>
    <row r="304" ht="22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28"/>
      <c r="U304" s="28"/>
      <c r="V304" s="29"/>
      <c r="W304" s="32"/>
      <c r="X304" s="32"/>
      <c r="Y304" s="31"/>
    </row>
    <row r="305" ht="22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28"/>
      <c r="U305" s="28"/>
      <c r="V305" s="29"/>
      <c r="W305" s="32"/>
      <c r="X305" s="32"/>
      <c r="Y305" s="31"/>
    </row>
    <row r="306" ht="22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28"/>
      <c r="U306" s="28"/>
      <c r="V306" s="29"/>
      <c r="W306" s="32"/>
      <c r="X306" s="32"/>
      <c r="Y306" s="31"/>
    </row>
    <row r="307" ht="22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28"/>
      <c r="U307" s="28"/>
      <c r="V307" s="29"/>
      <c r="W307" s="32"/>
      <c r="X307" s="32"/>
      <c r="Y307" s="31"/>
    </row>
    <row r="308" ht="22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28"/>
      <c r="U308" s="28"/>
      <c r="V308" s="29"/>
      <c r="W308" s="32"/>
      <c r="X308" s="32"/>
      <c r="Y308" s="31"/>
    </row>
    <row r="309" ht="22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28"/>
      <c r="U309" s="28"/>
      <c r="V309" s="29"/>
      <c r="W309" s="32"/>
      <c r="X309" s="32"/>
      <c r="Y309" s="31"/>
    </row>
    <row r="310" ht="22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28"/>
      <c r="U310" s="28"/>
      <c r="V310" s="29"/>
      <c r="W310" s="32"/>
      <c r="X310" s="32"/>
      <c r="Y310" s="31"/>
    </row>
    <row r="311" ht="22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28"/>
      <c r="U311" s="28"/>
      <c r="V311" s="29"/>
      <c r="W311" s="32"/>
      <c r="X311" s="32"/>
      <c r="Y311" s="31"/>
    </row>
    <row r="312" ht="22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28"/>
      <c r="U312" s="28"/>
      <c r="V312" s="29"/>
      <c r="W312" s="32"/>
      <c r="X312" s="32"/>
      <c r="Y312" s="31"/>
    </row>
    <row r="313" ht="22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28"/>
      <c r="U313" s="28"/>
      <c r="V313" s="29"/>
      <c r="W313" s="32"/>
      <c r="X313" s="32"/>
      <c r="Y313" s="31"/>
    </row>
    <row r="314" ht="22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28"/>
      <c r="U314" s="28"/>
      <c r="V314" s="29"/>
      <c r="W314" s="32"/>
      <c r="X314" s="32"/>
      <c r="Y314" s="31"/>
    </row>
    <row r="315" ht="22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28"/>
      <c r="U315" s="28"/>
      <c r="V315" s="29"/>
      <c r="W315" s="32"/>
      <c r="X315" s="32"/>
      <c r="Y315" s="31"/>
    </row>
    <row r="316" ht="22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28"/>
      <c r="U316" s="28"/>
      <c r="V316" s="29"/>
      <c r="W316" s="32"/>
      <c r="X316" s="32"/>
      <c r="Y316" s="31"/>
    </row>
    <row r="317" ht="22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28"/>
      <c r="U317" s="28"/>
      <c r="V317" s="29"/>
      <c r="W317" s="32"/>
      <c r="X317" s="32"/>
      <c r="Y317" s="31"/>
    </row>
    <row r="318" ht="22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28"/>
      <c r="U318" s="28"/>
      <c r="V318" s="29"/>
      <c r="W318" s="32"/>
      <c r="X318" s="32"/>
      <c r="Y318" s="31"/>
    </row>
    <row r="319" ht="22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28"/>
      <c r="U319" s="28"/>
      <c r="V319" s="29"/>
      <c r="W319" s="32"/>
      <c r="X319" s="32"/>
      <c r="Y319" s="31"/>
    </row>
    <row r="320" ht="22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28"/>
      <c r="U320" s="28"/>
      <c r="V320" s="29"/>
      <c r="W320" s="32"/>
      <c r="X320" s="32"/>
      <c r="Y320" s="31"/>
    </row>
    <row r="321" ht="22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28"/>
      <c r="U321" s="28"/>
      <c r="V321" s="29"/>
      <c r="W321" s="32"/>
      <c r="X321" s="32"/>
      <c r="Y321" s="31"/>
    </row>
    <row r="322" ht="22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28"/>
      <c r="U322" s="28"/>
      <c r="V322" s="29"/>
      <c r="W322" s="32"/>
      <c r="X322" s="32"/>
      <c r="Y322" s="31"/>
    </row>
    <row r="323" ht="22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28"/>
      <c r="U323" s="28"/>
      <c r="V323" s="29"/>
      <c r="W323" s="32"/>
      <c r="X323" s="32"/>
      <c r="Y323" s="31"/>
    </row>
    <row r="324" ht="22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28"/>
      <c r="U324" s="28"/>
      <c r="V324" s="29"/>
      <c r="W324" s="32"/>
      <c r="X324" s="32"/>
      <c r="Y324" s="31"/>
    </row>
    <row r="325" ht="22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28"/>
      <c r="U325" s="28"/>
      <c r="V325" s="29"/>
      <c r="W325" s="32"/>
      <c r="X325" s="32"/>
      <c r="Y325" s="31"/>
    </row>
    <row r="326" ht="22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28"/>
      <c r="U326" s="28"/>
      <c r="V326" s="29"/>
      <c r="W326" s="32"/>
      <c r="X326" s="32"/>
      <c r="Y326" s="31"/>
    </row>
    <row r="327" ht="22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28"/>
      <c r="U327" s="28"/>
      <c r="V327" s="29"/>
      <c r="W327" s="32"/>
      <c r="X327" s="32"/>
      <c r="Y327" s="31"/>
    </row>
    <row r="328" ht="22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28"/>
      <c r="U328" s="28"/>
      <c r="V328" s="29"/>
      <c r="W328" s="32"/>
      <c r="X328" s="32"/>
      <c r="Y328" s="31"/>
    </row>
    <row r="329" ht="22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28"/>
      <c r="U329" s="28"/>
      <c r="V329" s="29"/>
      <c r="W329" s="32"/>
      <c r="X329" s="32"/>
      <c r="Y329" s="31"/>
    </row>
    <row r="330" ht="22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28"/>
      <c r="U330" s="28"/>
      <c r="V330" s="29"/>
      <c r="W330" s="32"/>
      <c r="X330" s="32"/>
      <c r="Y330" s="31"/>
    </row>
    <row r="331" ht="22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28"/>
      <c r="U331" s="28"/>
      <c r="V331" s="29"/>
      <c r="W331" s="32"/>
      <c r="X331" s="32"/>
      <c r="Y331" s="31"/>
    </row>
    <row r="332" ht="22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28"/>
      <c r="U332" s="28"/>
      <c r="V332" s="29"/>
      <c r="W332" s="32"/>
      <c r="X332" s="32"/>
      <c r="Y332" s="31"/>
    </row>
    <row r="333" ht="22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28"/>
      <c r="U333" s="28"/>
      <c r="V333" s="29"/>
      <c r="W333" s="32"/>
      <c r="X333" s="32"/>
      <c r="Y333" s="31"/>
    </row>
    <row r="334" ht="22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28"/>
      <c r="U334" s="28"/>
      <c r="V334" s="29"/>
      <c r="W334" s="32"/>
      <c r="X334" s="32"/>
      <c r="Y334" s="31"/>
    </row>
    <row r="335" ht="22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28"/>
      <c r="U335" s="28"/>
      <c r="V335" s="29"/>
      <c r="W335" s="32"/>
      <c r="X335" s="32"/>
      <c r="Y335" s="31"/>
    </row>
    <row r="336" ht="22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28"/>
      <c r="U336" s="28"/>
      <c r="V336" s="29"/>
      <c r="W336" s="32"/>
      <c r="X336" s="32"/>
      <c r="Y336" s="31"/>
    </row>
    <row r="337" ht="22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28"/>
      <c r="U337" s="28"/>
      <c r="V337" s="29"/>
      <c r="W337" s="32"/>
      <c r="X337" s="32"/>
      <c r="Y337" s="31"/>
    </row>
    <row r="338" ht="22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28"/>
      <c r="U338" s="28"/>
      <c r="V338" s="29"/>
      <c r="W338" s="32"/>
      <c r="X338" s="32"/>
      <c r="Y338" s="31"/>
    </row>
    <row r="339" ht="22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28"/>
      <c r="U339" s="28"/>
      <c r="V339" s="29"/>
      <c r="W339" s="32"/>
      <c r="X339" s="32"/>
      <c r="Y339" s="31"/>
    </row>
    <row r="340" ht="22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28"/>
      <c r="U340" s="28"/>
      <c r="V340" s="29"/>
      <c r="W340" s="32"/>
      <c r="X340" s="32"/>
      <c r="Y340" s="31"/>
    </row>
    <row r="341" ht="22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28"/>
      <c r="U341" s="28"/>
      <c r="V341" s="29"/>
      <c r="W341" s="32"/>
      <c r="X341" s="32"/>
      <c r="Y341" s="31"/>
    </row>
    <row r="342" ht="22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28"/>
      <c r="U342" s="28"/>
      <c r="V342" s="29"/>
      <c r="W342" s="32"/>
      <c r="X342" s="32"/>
      <c r="Y342" s="31"/>
    </row>
    <row r="343" ht="22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28"/>
      <c r="U343" s="28"/>
      <c r="V343" s="29"/>
      <c r="W343" s="32"/>
      <c r="X343" s="32"/>
      <c r="Y343" s="31"/>
    </row>
    <row r="344" ht="22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28"/>
      <c r="U344" s="28"/>
      <c r="V344" s="29"/>
      <c r="W344" s="32"/>
      <c r="X344" s="32"/>
      <c r="Y344" s="31"/>
    </row>
    <row r="345" ht="22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28"/>
      <c r="U345" s="28"/>
      <c r="V345" s="29"/>
      <c r="W345" s="32"/>
      <c r="X345" s="32"/>
      <c r="Y345" s="31"/>
    </row>
    <row r="346" ht="22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28"/>
      <c r="U346" s="28"/>
      <c r="V346" s="29"/>
      <c r="W346" s="32"/>
      <c r="X346" s="32"/>
      <c r="Y346" s="31"/>
    </row>
    <row r="347" ht="22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28"/>
      <c r="U347" s="28"/>
      <c r="V347" s="29"/>
      <c r="W347" s="32"/>
      <c r="X347" s="32"/>
      <c r="Y347" s="31"/>
    </row>
    <row r="348" ht="22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28"/>
      <c r="U348" s="28"/>
      <c r="V348" s="29"/>
      <c r="W348" s="32"/>
      <c r="X348" s="32"/>
      <c r="Y348" s="31"/>
    </row>
    <row r="349" ht="22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28"/>
      <c r="U349" s="28"/>
      <c r="V349" s="29"/>
      <c r="W349" s="32"/>
      <c r="X349" s="32"/>
      <c r="Y349" s="31"/>
    </row>
    <row r="350" ht="22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28"/>
      <c r="U350" s="28"/>
      <c r="V350" s="29"/>
      <c r="W350" s="32"/>
      <c r="X350" s="32"/>
      <c r="Y350" s="31"/>
    </row>
    <row r="351" ht="22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28"/>
      <c r="U351" s="28"/>
      <c r="V351" s="29"/>
      <c r="W351" s="32"/>
      <c r="X351" s="32"/>
      <c r="Y351" s="31"/>
    </row>
    <row r="352" ht="22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28"/>
      <c r="U352" s="28"/>
      <c r="V352" s="29"/>
      <c r="W352" s="32"/>
      <c r="X352" s="32"/>
      <c r="Y352" s="31"/>
    </row>
    <row r="353" ht="22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28"/>
      <c r="U353" s="28"/>
      <c r="V353" s="29"/>
      <c r="W353" s="32"/>
      <c r="X353" s="32"/>
      <c r="Y353" s="31"/>
    </row>
    <row r="354" ht="22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28"/>
      <c r="U354" s="28"/>
      <c r="V354" s="29"/>
      <c r="W354" s="32"/>
      <c r="X354" s="32"/>
      <c r="Y354" s="31"/>
    </row>
    <row r="355" ht="22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28"/>
      <c r="U355" s="28"/>
      <c r="V355" s="29"/>
      <c r="W355" s="32"/>
      <c r="X355" s="32"/>
      <c r="Y355" s="31"/>
    </row>
    <row r="356" ht="22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28"/>
      <c r="U356" s="28"/>
      <c r="V356" s="29"/>
      <c r="W356" s="32"/>
      <c r="X356" s="32"/>
      <c r="Y356" s="31"/>
    </row>
    <row r="357" ht="22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28"/>
      <c r="U357" s="28"/>
      <c r="V357" s="29"/>
      <c r="W357" s="32"/>
      <c r="X357" s="32"/>
      <c r="Y357" s="31"/>
    </row>
    <row r="358" ht="22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28"/>
      <c r="U358" s="28"/>
      <c r="V358" s="29"/>
      <c r="W358" s="32"/>
      <c r="X358" s="32"/>
      <c r="Y358" s="31"/>
    </row>
    <row r="359" ht="22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28"/>
      <c r="U359" s="28"/>
      <c r="V359" s="29"/>
      <c r="W359" s="32"/>
      <c r="X359" s="32"/>
      <c r="Y359" s="31"/>
    </row>
    <row r="360" ht="22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28"/>
      <c r="U360" s="28"/>
      <c r="V360" s="29"/>
      <c r="W360" s="32"/>
      <c r="X360" s="32"/>
      <c r="Y360" s="31"/>
    </row>
    <row r="361" ht="22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28"/>
      <c r="U361" s="28"/>
      <c r="V361" s="29"/>
      <c r="W361" s="32"/>
      <c r="X361" s="32"/>
      <c r="Y361" s="31"/>
    </row>
    <row r="362" ht="22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28"/>
      <c r="U362" s="28"/>
      <c r="V362" s="29"/>
      <c r="W362" s="32"/>
      <c r="X362" s="32"/>
      <c r="Y362" s="31"/>
    </row>
    <row r="363" ht="22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28"/>
      <c r="U363" s="28"/>
      <c r="V363" s="29"/>
      <c r="W363" s="32"/>
      <c r="X363" s="32"/>
      <c r="Y363" s="31"/>
    </row>
    <row r="364" ht="22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28"/>
      <c r="U364" s="28"/>
      <c r="V364" s="29"/>
      <c r="W364" s="32"/>
      <c r="X364" s="32"/>
      <c r="Y364" s="31"/>
    </row>
    <row r="365" ht="22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28"/>
      <c r="U365" s="28"/>
      <c r="V365" s="29"/>
      <c r="W365" s="32"/>
      <c r="X365" s="32"/>
      <c r="Y365" s="31"/>
    </row>
    <row r="366" ht="22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28"/>
      <c r="U366" s="28"/>
      <c r="V366" s="29"/>
      <c r="W366" s="32"/>
      <c r="X366" s="32"/>
      <c r="Y366" s="31"/>
    </row>
    <row r="367" ht="22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28"/>
      <c r="U367" s="28"/>
      <c r="V367" s="29"/>
      <c r="W367" s="32"/>
      <c r="X367" s="32"/>
      <c r="Y367" s="31"/>
    </row>
    <row r="368" ht="22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28"/>
      <c r="U368" s="28"/>
      <c r="V368" s="29"/>
      <c r="W368" s="32"/>
      <c r="X368" s="32"/>
      <c r="Y368" s="31"/>
    </row>
    <row r="369" ht="22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28"/>
      <c r="U369" s="28"/>
      <c r="V369" s="29"/>
      <c r="W369" s="32"/>
      <c r="X369" s="32"/>
      <c r="Y369" s="31"/>
    </row>
    <row r="370" ht="22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28"/>
      <c r="U370" s="28"/>
      <c r="V370" s="29"/>
      <c r="W370" s="32"/>
      <c r="X370" s="32"/>
      <c r="Y370" s="31"/>
    </row>
    <row r="371" ht="22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28"/>
      <c r="U371" s="28"/>
      <c r="V371" s="29"/>
      <c r="W371" s="32"/>
      <c r="X371" s="32"/>
      <c r="Y371" s="31"/>
    </row>
    <row r="372" ht="22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28"/>
      <c r="U372" s="28"/>
      <c r="V372" s="29"/>
      <c r="W372" s="32"/>
      <c r="X372" s="32"/>
      <c r="Y372" s="31"/>
    </row>
    <row r="373" ht="22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28"/>
      <c r="U373" s="28"/>
      <c r="V373" s="29"/>
      <c r="W373" s="32"/>
      <c r="X373" s="32"/>
      <c r="Y373" s="31"/>
    </row>
    <row r="374" ht="22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28"/>
      <c r="U374" s="28"/>
      <c r="V374" s="29"/>
      <c r="W374" s="32"/>
      <c r="X374" s="32"/>
      <c r="Y374" s="31"/>
    </row>
    <row r="375" ht="22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28"/>
      <c r="U375" s="28"/>
      <c r="V375" s="29"/>
      <c r="W375" s="32"/>
      <c r="X375" s="32"/>
      <c r="Y375" s="31"/>
    </row>
    <row r="376" ht="22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28"/>
      <c r="U376" s="28"/>
      <c r="V376" s="29"/>
      <c r="W376" s="32"/>
      <c r="X376" s="32"/>
      <c r="Y376" s="31"/>
    </row>
    <row r="377" ht="22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28"/>
      <c r="U377" s="28"/>
      <c r="V377" s="29"/>
      <c r="W377" s="32"/>
      <c r="X377" s="32"/>
      <c r="Y377" s="31"/>
    </row>
    <row r="378" ht="22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28"/>
      <c r="U378" s="28"/>
      <c r="V378" s="29"/>
      <c r="W378" s="32"/>
      <c r="X378" s="32"/>
      <c r="Y378" s="31"/>
    </row>
    <row r="379" ht="22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28"/>
      <c r="U379" s="28"/>
      <c r="V379" s="29"/>
      <c r="W379" s="32"/>
      <c r="X379" s="32"/>
      <c r="Y379" s="31"/>
    </row>
    <row r="380" ht="22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28"/>
      <c r="U380" s="28"/>
      <c r="V380" s="29"/>
      <c r="W380" s="32"/>
      <c r="X380" s="32"/>
      <c r="Y380" s="31"/>
    </row>
    <row r="381" ht="22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28"/>
      <c r="U381" s="28"/>
      <c r="V381" s="29"/>
      <c r="W381" s="32"/>
      <c r="X381" s="32"/>
      <c r="Y381" s="31"/>
    </row>
    <row r="382" ht="22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28"/>
      <c r="U382" s="28"/>
      <c r="V382" s="29"/>
      <c r="W382" s="32"/>
      <c r="X382" s="32"/>
      <c r="Y382" s="31"/>
    </row>
    <row r="383" ht="22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28"/>
      <c r="U383" s="28"/>
      <c r="V383" s="29"/>
      <c r="W383" s="32"/>
      <c r="X383" s="32"/>
      <c r="Y383" s="31"/>
    </row>
    <row r="384" ht="22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28"/>
      <c r="U384" s="28"/>
      <c r="V384" s="29"/>
      <c r="W384" s="32"/>
      <c r="X384" s="32"/>
      <c r="Y384" s="31"/>
    </row>
    <row r="385" ht="22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28"/>
      <c r="U385" s="28"/>
      <c r="V385" s="29"/>
      <c r="W385" s="32"/>
      <c r="X385" s="32"/>
      <c r="Y385" s="31"/>
    </row>
    <row r="386" ht="22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28"/>
      <c r="U386" s="28"/>
      <c r="V386" s="29"/>
      <c r="W386" s="32"/>
      <c r="X386" s="32"/>
      <c r="Y386" s="31"/>
    </row>
    <row r="387" ht="22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28"/>
      <c r="U387" s="28"/>
      <c r="V387" s="29"/>
      <c r="W387" s="32"/>
      <c r="X387" s="32"/>
      <c r="Y387" s="31"/>
    </row>
    <row r="388" ht="22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28"/>
      <c r="U388" s="28"/>
      <c r="V388" s="29"/>
      <c r="W388" s="32"/>
      <c r="X388" s="32"/>
      <c r="Y388" s="31"/>
    </row>
    <row r="389" ht="22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28"/>
      <c r="U389" s="28"/>
      <c r="V389" s="29"/>
      <c r="W389" s="32"/>
      <c r="X389" s="32"/>
      <c r="Y389" s="31"/>
    </row>
    <row r="390" ht="22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28"/>
      <c r="U390" s="28"/>
      <c r="V390" s="29"/>
      <c r="W390" s="32"/>
      <c r="X390" s="32"/>
      <c r="Y390" s="31"/>
    </row>
    <row r="391" ht="22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28"/>
      <c r="U391" s="28"/>
      <c r="V391" s="29"/>
      <c r="W391" s="32"/>
      <c r="X391" s="32"/>
      <c r="Y391" s="31"/>
    </row>
    <row r="392" ht="22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28"/>
      <c r="U392" s="28"/>
      <c r="V392" s="29"/>
      <c r="W392" s="32"/>
      <c r="X392" s="32"/>
      <c r="Y392" s="31"/>
    </row>
    <row r="393" ht="22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28"/>
      <c r="U393" s="28"/>
      <c r="V393" s="29"/>
      <c r="W393" s="32"/>
      <c r="X393" s="32"/>
      <c r="Y393" s="31"/>
    </row>
    <row r="394" ht="22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28"/>
      <c r="U394" s="28"/>
      <c r="V394" s="29"/>
      <c r="W394" s="32"/>
      <c r="X394" s="32"/>
      <c r="Y394" s="31"/>
    </row>
    <row r="395" ht="22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28"/>
      <c r="U395" s="28"/>
      <c r="V395" s="29"/>
      <c r="W395" s="32"/>
      <c r="X395" s="32"/>
      <c r="Y395" s="31"/>
    </row>
    <row r="396" ht="22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28"/>
      <c r="U396" s="28"/>
      <c r="V396" s="29"/>
      <c r="W396" s="32"/>
      <c r="X396" s="32"/>
      <c r="Y396" s="31"/>
    </row>
    <row r="397" ht="22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28"/>
      <c r="U397" s="28"/>
      <c r="V397" s="29"/>
      <c r="W397" s="32"/>
      <c r="X397" s="32"/>
      <c r="Y397" s="31"/>
    </row>
    <row r="398" ht="22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28"/>
      <c r="U398" s="28"/>
      <c r="V398" s="29"/>
      <c r="W398" s="32"/>
      <c r="X398" s="32"/>
      <c r="Y398" s="31"/>
    </row>
    <row r="399" ht="22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28"/>
      <c r="U399" s="28"/>
      <c r="V399" s="29"/>
      <c r="W399" s="32"/>
      <c r="X399" s="32"/>
      <c r="Y399" s="31"/>
    </row>
    <row r="400" ht="22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28"/>
      <c r="U400" s="28"/>
      <c r="V400" s="29"/>
      <c r="W400" s="32"/>
      <c r="X400" s="32"/>
      <c r="Y400" s="31"/>
    </row>
    <row r="401" ht="22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28"/>
      <c r="U401" s="28"/>
      <c r="V401" s="29"/>
      <c r="W401" s="32"/>
      <c r="X401" s="32"/>
      <c r="Y401" s="31"/>
    </row>
    <row r="402" ht="22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28"/>
      <c r="U402" s="28"/>
      <c r="V402" s="29"/>
      <c r="W402" s="32"/>
      <c r="X402" s="32"/>
      <c r="Y402" s="31"/>
    </row>
    <row r="403" ht="22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28"/>
      <c r="U403" s="28"/>
      <c r="V403" s="29"/>
      <c r="W403" s="32"/>
      <c r="X403" s="32"/>
      <c r="Y403" s="31"/>
    </row>
    <row r="404" ht="22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28"/>
      <c r="U404" s="28"/>
      <c r="V404" s="29"/>
      <c r="W404" s="32"/>
      <c r="X404" s="32"/>
      <c r="Y404" s="31"/>
    </row>
    <row r="405" ht="22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28"/>
      <c r="U405" s="28"/>
      <c r="V405" s="29"/>
      <c r="W405" s="32"/>
      <c r="X405" s="32"/>
      <c r="Y405" s="31"/>
    </row>
    <row r="406" ht="22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28"/>
      <c r="U406" s="28"/>
      <c r="V406" s="29"/>
      <c r="W406" s="32"/>
      <c r="X406" s="32"/>
      <c r="Y406" s="31"/>
    </row>
    <row r="407" ht="22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28"/>
      <c r="U407" s="28"/>
      <c r="V407" s="29"/>
      <c r="W407" s="32"/>
      <c r="X407" s="32"/>
      <c r="Y407" s="31"/>
    </row>
    <row r="408" ht="22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28"/>
      <c r="U408" s="28"/>
      <c r="V408" s="29"/>
      <c r="W408" s="32"/>
      <c r="X408" s="32"/>
      <c r="Y408" s="31"/>
    </row>
    <row r="409" ht="22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28"/>
      <c r="U409" s="28"/>
      <c r="V409" s="29"/>
      <c r="W409" s="32"/>
      <c r="X409" s="32"/>
      <c r="Y409" s="31"/>
    </row>
    <row r="410" ht="22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28"/>
      <c r="U410" s="28"/>
      <c r="V410" s="29"/>
      <c r="W410" s="32"/>
      <c r="X410" s="32"/>
      <c r="Y410" s="31"/>
    </row>
    <row r="411" ht="22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28"/>
      <c r="U411" s="28"/>
      <c r="V411" s="29"/>
      <c r="W411" s="32"/>
      <c r="X411" s="32"/>
      <c r="Y411" s="31"/>
    </row>
    <row r="412" ht="22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28"/>
      <c r="U412" s="28"/>
      <c r="V412" s="29"/>
      <c r="W412" s="32"/>
      <c r="X412" s="32"/>
      <c r="Y412" s="31"/>
    </row>
    <row r="413" ht="22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28"/>
      <c r="U413" s="28"/>
      <c r="V413" s="29"/>
      <c r="W413" s="32"/>
      <c r="X413" s="32"/>
      <c r="Y413" s="31"/>
    </row>
    <row r="414" ht="22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28"/>
      <c r="U414" s="28"/>
      <c r="V414" s="29"/>
      <c r="W414" s="32"/>
      <c r="X414" s="32"/>
      <c r="Y414" s="31"/>
    </row>
    <row r="415" ht="22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28"/>
      <c r="U415" s="28"/>
      <c r="V415" s="29"/>
      <c r="W415" s="32"/>
      <c r="X415" s="32"/>
      <c r="Y415" s="31"/>
    </row>
    <row r="416" ht="22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28"/>
      <c r="U416" s="28"/>
      <c r="V416" s="29"/>
      <c r="W416" s="32"/>
      <c r="X416" s="32"/>
      <c r="Y416" s="31"/>
    </row>
    <row r="417" ht="22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28"/>
      <c r="U417" s="28"/>
      <c r="V417" s="29"/>
      <c r="W417" s="32"/>
      <c r="X417" s="32"/>
      <c r="Y417" s="31"/>
    </row>
    <row r="418" ht="22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28"/>
      <c r="U418" s="28"/>
      <c r="V418" s="29"/>
      <c r="W418" s="32"/>
      <c r="X418" s="32"/>
      <c r="Y418" s="31"/>
    </row>
    <row r="419" ht="22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28"/>
      <c r="U419" s="28"/>
      <c r="V419" s="29"/>
      <c r="W419" s="32"/>
      <c r="X419" s="32"/>
      <c r="Y419" s="31"/>
    </row>
    <row r="420" ht="22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28"/>
      <c r="U420" s="28"/>
      <c r="V420" s="29"/>
      <c r="W420" s="32"/>
      <c r="X420" s="32"/>
      <c r="Y420" s="31"/>
    </row>
    <row r="421" ht="22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28"/>
      <c r="U421" s="28"/>
      <c r="V421" s="29"/>
      <c r="W421" s="32"/>
      <c r="X421" s="32"/>
      <c r="Y421" s="31"/>
    </row>
    <row r="422" ht="22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28"/>
      <c r="U422" s="28"/>
      <c r="V422" s="29"/>
      <c r="W422" s="32"/>
      <c r="X422" s="32"/>
      <c r="Y422" s="31"/>
    </row>
    <row r="423" ht="22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28"/>
      <c r="U423" s="28"/>
      <c r="V423" s="29"/>
      <c r="W423" s="32"/>
      <c r="X423" s="32"/>
      <c r="Y423" s="31"/>
    </row>
    <row r="424" ht="22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28"/>
      <c r="U424" s="28"/>
      <c r="V424" s="29"/>
      <c r="W424" s="32"/>
      <c r="X424" s="32"/>
      <c r="Y424" s="31"/>
    </row>
    <row r="425" ht="22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28"/>
      <c r="U425" s="28"/>
      <c r="V425" s="29"/>
      <c r="W425" s="32"/>
      <c r="X425" s="32"/>
      <c r="Y425" s="31"/>
    </row>
    <row r="426" ht="22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28"/>
      <c r="U426" s="28"/>
      <c r="V426" s="29"/>
      <c r="W426" s="32"/>
      <c r="X426" s="32"/>
      <c r="Y426" s="31"/>
    </row>
    <row r="427" ht="22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28"/>
      <c r="U427" s="28"/>
      <c r="V427" s="29"/>
      <c r="W427" s="32"/>
      <c r="X427" s="32"/>
      <c r="Y427" s="31"/>
    </row>
    <row r="428" ht="22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28"/>
      <c r="U428" s="28"/>
      <c r="V428" s="29"/>
      <c r="W428" s="32"/>
      <c r="X428" s="32"/>
      <c r="Y428" s="31"/>
    </row>
    <row r="429" ht="22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28"/>
      <c r="U429" s="28"/>
      <c r="V429" s="29"/>
      <c r="W429" s="32"/>
      <c r="X429" s="32"/>
      <c r="Y429" s="31"/>
    </row>
    <row r="430" ht="22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28"/>
      <c r="U430" s="28"/>
      <c r="V430" s="29"/>
      <c r="W430" s="32"/>
      <c r="X430" s="32"/>
      <c r="Y430" s="31"/>
    </row>
    <row r="431" ht="22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28"/>
      <c r="U431" s="28"/>
      <c r="V431" s="29"/>
      <c r="W431" s="32"/>
      <c r="X431" s="32"/>
      <c r="Y431" s="31"/>
    </row>
    <row r="432" ht="22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28"/>
      <c r="U432" s="28"/>
      <c r="V432" s="29"/>
      <c r="W432" s="32"/>
      <c r="X432" s="32"/>
      <c r="Y432" s="31"/>
    </row>
    <row r="433" ht="22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28"/>
      <c r="U433" s="28"/>
      <c r="V433" s="29"/>
      <c r="W433" s="32"/>
      <c r="X433" s="32"/>
      <c r="Y433" s="31"/>
    </row>
    <row r="434" ht="22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28"/>
      <c r="U434" s="28"/>
      <c r="V434" s="29"/>
      <c r="W434" s="32"/>
      <c r="X434" s="32"/>
      <c r="Y434" s="31"/>
    </row>
    <row r="435" ht="22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28"/>
      <c r="U435" s="28"/>
      <c r="V435" s="29"/>
      <c r="W435" s="32"/>
      <c r="X435" s="32"/>
      <c r="Y435" s="31"/>
    </row>
    <row r="436" ht="22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28"/>
      <c r="U436" s="28"/>
      <c r="V436" s="29"/>
      <c r="W436" s="32"/>
      <c r="X436" s="32"/>
      <c r="Y436" s="31"/>
    </row>
    <row r="437" ht="22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28"/>
      <c r="U437" s="28"/>
      <c r="V437" s="29"/>
      <c r="W437" s="32"/>
      <c r="X437" s="32"/>
      <c r="Y437" s="31"/>
    </row>
    <row r="438" ht="22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28"/>
      <c r="U438" s="28"/>
      <c r="V438" s="29"/>
      <c r="W438" s="32"/>
      <c r="X438" s="32"/>
      <c r="Y438" s="31"/>
    </row>
    <row r="439" ht="22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28"/>
      <c r="U439" s="28"/>
      <c r="V439" s="29"/>
      <c r="W439" s="32"/>
      <c r="X439" s="32"/>
      <c r="Y439" s="31"/>
    </row>
    <row r="440" ht="22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28"/>
      <c r="U440" s="28"/>
      <c r="V440" s="29"/>
      <c r="W440" s="32"/>
      <c r="X440" s="32"/>
      <c r="Y440" s="31"/>
    </row>
    <row r="441" ht="22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28"/>
      <c r="U441" s="28"/>
      <c r="V441" s="29"/>
      <c r="W441" s="32"/>
      <c r="X441" s="32"/>
      <c r="Y441" s="31"/>
    </row>
    <row r="442" ht="22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28"/>
      <c r="U442" s="28"/>
      <c r="V442" s="29"/>
      <c r="W442" s="32"/>
      <c r="X442" s="32"/>
      <c r="Y442" s="31"/>
    </row>
    <row r="443" ht="22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28"/>
      <c r="U443" s="28"/>
      <c r="V443" s="29"/>
      <c r="W443" s="32"/>
      <c r="X443" s="32"/>
      <c r="Y443" s="31"/>
    </row>
    <row r="444" ht="22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28"/>
      <c r="U444" s="28"/>
      <c r="V444" s="29"/>
      <c r="W444" s="32"/>
      <c r="X444" s="32"/>
      <c r="Y444" s="31"/>
    </row>
    <row r="445" ht="22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28"/>
      <c r="U445" s="28"/>
      <c r="V445" s="29"/>
      <c r="W445" s="32"/>
      <c r="X445" s="32"/>
      <c r="Y445" s="31"/>
    </row>
    <row r="446" ht="22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28"/>
      <c r="U446" s="28"/>
      <c r="V446" s="29"/>
      <c r="W446" s="32"/>
      <c r="X446" s="32"/>
      <c r="Y446" s="31"/>
    </row>
    <row r="447" ht="22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28"/>
      <c r="U447" s="28"/>
      <c r="V447" s="29"/>
      <c r="W447" s="32"/>
      <c r="X447" s="32"/>
      <c r="Y447" s="31"/>
    </row>
    <row r="448" ht="22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28"/>
      <c r="U448" s="28"/>
      <c r="V448" s="29"/>
      <c r="W448" s="32"/>
      <c r="X448" s="32"/>
      <c r="Y448" s="31"/>
    </row>
    <row r="449" ht="22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28"/>
      <c r="U449" s="28"/>
      <c r="V449" s="29"/>
      <c r="W449" s="32"/>
      <c r="X449" s="32"/>
      <c r="Y449" s="31"/>
    </row>
    <row r="450" ht="22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28"/>
      <c r="U450" s="28"/>
      <c r="V450" s="29"/>
      <c r="W450" s="32"/>
      <c r="X450" s="32"/>
      <c r="Y450" s="31"/>
    </row>
    <row r="451" ht="22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28"/>
      <c r="U451" s="28"/>
      <c r="V451" s="29"/>
      <c r="W451" s="32"/>
      <c r="X451" s="32"/>
      <c r="Y451" s="31"/>
    </row>
    <row r="452" ht="22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28"/>
      <c r="U452" s="28"/>
      <c r="V452" s="29"/>
      <c r="W452" s="32"/>
      <c r="X452" s="32"/>
      <c r="Y452" s="31"/>
    </row>
    <row r="453" ht="22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28"/>
      <c r="U453" s="28"/>
      <c r="V453" s="29"/>
      <c r="W453" s="32"/>
      <c r="X453" s="32"/>
      <c r="Y453" s="31"/>
    </row>
    <row r="454" ht="22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28"/>
      <c r="U454" s="28"/>
      <c r="V454" s="29"/>
      <c r="W454" s="32"/>
      <c r="X454" s="32"/>
      <c r="Y454" s="31"/>
    </row>
    <row r="455" ht="22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28"/>
      <c r="U455" s="28"/>
      <c r="V455" s="29"/>
      <c r="W455" s="32"/>
      <c r="X455" s="32"/>
      <c r="Y455" s="31"/>
    </row>
    <row r="456" ht="22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28"/>
      <c r="U456" s="28"/>
      <c r="V456" s="29"/>
      <c r="W456" s="32"/>
      <c r="X456" s="32"/>
      <c r="Y456" s="31"/>
    </row>
    <row r="457" ht="22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28"/>
      <c r="U457" s="28"/>
      <c r="V457" s="29"/>
      <c r="W457" s="32"/>
      <c r="X457" s="32"/>
      <c r="Y457" s="31"/>
    </row>
    <row r="458" ht="22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28"/>
      <c r="U458" s="28"/>
      <c r="V458" s="29"/>
      <c r="W458" s="32"/>
      <c r="X458" s="32"/>
      <c r="Y458" s="31"/>
    </row>
    <row r="459" ht="22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28"/>
      <c r="U459" s="28"/>
      <c r="V459" s="29"/>
      <c r="W459" s="32"/>
      <c r="X459" s="32"/>
      <c r="Y459" s="31"/>
    </row>
    <row r="460" ht="22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28"/>
      <c r="U460" s="28"/>
      <c r="V460" s="29"/>
      <c r="W460" s="32"/>
      <c r="X460" s="32"/>
      <c r="Y460" s="31"/>
    </row>
    <row r="461" ht="22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28"/>
      <c r="U461" s="28"/>
      <c r="V461" s="29"/>
      <c r="W461" s="32"/>
      <c r="X461" s="32"/>
      <c r="Y461" s="31"/>
    </row>
    <row r="462" ht="22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28"/>
      <c r="U462" s="28"/>
      <c r="V462" s="29"/>
      <c r="W462" s="32"/>
      <c r="X462" s="32"/>
      <c r="Y462" s="31"/>
    </row>
    <row r="463" ht="22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28"/>
      <c r="U463" s="28"/>
      <c r="V463" s="29"/>
      <c r="W463" s="32"/>
      <c r="X463" s="32"/>
      <c r="Y463" s="31"/>
    </row>
    <row r="464" ht="22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28"/>
      <c r="U464" s="28"/>
      <c r="V464" s="29"/>
      <c r="W464" s="32"/>
      <c r="X464" s="32"/>
      <c r="Y464" s="31"/>
    </row>
    <row r="465" ht="22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28"/>
      <c r="U465" s="28"/>
      <c r="V465" s="29"/>
      <c r="W465" s="32"/>
      <c r="X465" s="32"/>
      <c r="Y465" s="31"/>
    </row>
    <row r="466" ht="22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28"/>
      <c r="U466" s="28"/>
      <c r="V466" s="29"/>
      <c r="W466" s="32"/>
      <c r="X466" s="32"/>
      <c r="Y466" s="31"/>
    </row>
    <row r="467" ht="22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28"/>
      <c r="U467" s="28"/>
      <c r="V467" s="29"/>
      <c r="W467" s="32"/>
      <c r="X467" s="32"/>
      <c r="Y467" s="31"/>
    </row>
    <row r="468" ht="22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28"/>
      <c r="U468" s="28"/>
      <c r="V468" s="29"/>
      <c r="W468" s="32"/>
      <c r="X468" s="32"/>
      <c r="Y468" s="31"/>
    </row>
    <row r="469" ht="22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28"/>
      <c r="U469" s="28"/>
      <c r="V469" s="29"/>
      <c r="W469" s="32"/>
      <c r="X469" s="32"/>
      <c r="Y469" s="31"/>
    </row>
    <row r="470" ht="22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28"/>
      <c r="U470" s="28"/>
      <c r="V470" s="29"/>
      <c r="W470" s="32"/>
      <c r="X470" s="32"/>
      <c r="Y470" s="31"/>
    </row>
    <row r="471" ht="22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28"/>
      <c r="U471" s="28"/>
      <c r="V471" s="29"/>
      <c r="W471" s="32"/>
      <c r="X471" s="32"/>
      <c r="Y471" s="31"/>
    </row>
    <row r="472" ht="22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28"/>
      <c r="U472" s="28"/>
      <c r="V472" s="29"/>
      <c r="W472" s="32"/>
      <c r="X472" s="32"/>
      <c r="Y472" s="31"/>
    </row>
    <row r="473" ht="22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28"/>
      <c r="U473" s="28"/>
      <c r="V473" s="29"/>
      <c r="W473" s="32"/>
      <c r="X473" s="32"/>
      <c r="Y473" s="31"/>
    </row>
    <row r="474" ht="22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28"/>
      <c r="U474" s="28"/>
      <c r="V474" s="29"/>
      <c r="W474" s="32"/>
      <c r="X474" s="32"/>
      <c r="Y474" s="31"/>
    </row>
    <row r="475" ht="22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28"/>
      <c r="U475" s="28"/>
      <c r="V475" s="29"/>
      <c r="W475" s="32"/>
      <c r="X475" s="32"/>
      <c r="Y475" s="31"/>
    </row>
    <row r="476" ht="22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28"/>
      <c r="U476" s="28"/>
      <c r="V476" s="29"/>
      <c r="W476" s="32"/>
      <c r="X476" s="32"/>
      <c r="Y476" s="31"/>
    </row>
    <row r="477" ht="22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28"/>
      <c r="U477" s="28"/>
      <c r="V477" s="29"/>
      <c r="W477" s="32"/>
      <c r="X477" s="32"/>
      <c r="Y477" s="31"/>
    </row>
    <row r="478" ht="22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28"/>
      <c r="U478" s="28"/>
      <c r="V478" s="29"/>
      <c r="W478" s="32"/>
      <c r="X478" s="32"/>
      <c r="Y478" s="31"/>
    </row>
    <row r="479" ht="22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28"/>
      <c r="U479" s="28"/>
      <c r="V479" s="29"/>
      <c r="W479" s="32"/>
      <c r="X479" s="32"/>
      <c r="Y479" s="31"/>
    </row>
    <row r="480" ht="22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28"/>
      <c r="U480" s="28"/>
      <c r="V480" s="29"/>
      <c r="W480" s="32"/>
      <c r="X480" s="32"/>
      <c r="Y480" s="31"/>
    </row>
    <row r="481" ht="22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28"/>
      <c r="U481" s="28"/>
      <c r="V481" s="29"/>
      <c r="W481" s="32"/>
      <c r="X481" s="32"/>
      <c r="Y481" s="31"/>
    </row>
    <row r="482" ht="22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28"/>
      <c r="U482" s="28"/>
      <c r="V482" s="29"/>
      <c r="W482" s="32"/>
      <c r="X482" s="32"/>
      <c r="Y482" s="31"/>
    </row>
    <row r="483" ht="22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28"/>
      <c r="U483" s="28"/>
      <c r="V483" s="29"/>
      <c r="W483" s="32"/>
      <c r="X483" s="32"/>
      <c r="Y483" s="31"/>
    </row>
    <row r="484" ht="22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28"/>
      <c r="U484" s="28"/>
      <c r="V484" s="29"/>
      <c r="W484" s="32"/>
      <c r="X484" s="32"/>
      <c r="Y484" s="31"/>
    </row>
    <row r="485" ht="22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28"/>
      <c r="U485" s="28"/>
      <c r="V485" s="29"/>
      <c r="W485" s="32"/>
      <c r="X485" s="32"/>
      <c r="Y485" s="31"/>
    </row>
    <row r="486" ht="22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28"/>
      <c r="U486" s="28"/>
      <c r="V486" s="29"/>
      <c r="W486" s="32"/>
      <c r="X486" s="32"/>
      <c r="Y486" s="31"/>
    </row>
    <row r="487" ht="22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28"/>
      <c r="U487" s="28"/>
      <c r="V487" s="29"/>
      <c r="W487" s="32"/>
      <c r="X487" s="32"/>
      <c r="Y487" s="31"/>
    </row>
    <row r="488" ht="22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28"/>
      <c r="U488" s="28"/>
      <c r="V488" s="29"/>
      <c r="W488" s="32"/>
      <c r="X488" s="32"/>
      <c r="Y488" s="31"/>
    </row>
    <row r="489" ht="22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28"/>
      <c r="U489" s="28"/>
      <c r="V489" s="29"/>
      <c r="W489" s="32"/>
      <c r="X489" s="32"/>
      <c r="Y489" s="31"/>
    </row>
    <row r="490" ht="22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28"/>
      <c r="U490" s="28"/>
      <c r="V490" s="29"/>
      <c r="W490" s="32"/>
      <c r="X490" s="32"/>
      <c r="Y490" s="31"/>
    </row>
    <row r="491" ht="22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28"/>
      <c r="U491" s="28"/>
      <c r="V491" s="29"/>
      <c r="W491" s="32"/>
      <c r="X491" s="32"/>
      <c r="Y491" s="31"/>
    </row>
    <row r="492" ht="22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28"/>
      <c r="U492" s="28"/>
      <c r="V492" s="29"/>
      <c r="W492" s="32"/>
      <c r="X492" s="32"/>
      <c r="Y492" s="31"/>
    </row>
    <row r="493" ht="22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28"/>
      <c r="U493" s="28"/>
      <c r="V493" s="29"/>
      <c r="W493" s="32"/>
      <c r="X493" s="32"/>
      <c r="Y493" s="31"/>
    </row>
    <row r="494" ht="22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28"/>
      <c r="U494" s="28"/>
      <c r="V494" s="29"/>
      <c r="W494" s="32"/>
      <c r="X494" s="32"/>
      <c r="Y494" s="31"/>
    </row>
    <row r="495" ht="22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28"/>
      <c r="U495" s="28"/>
      <c r="V495" s="29"/>
      <c r="W495" s="32"/>
      <c r="X495" s="32"/>
      <c r="Y495" s="31"/>
    </row>
    <row r="496" ht="22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28"/>
      <c r="U496" s="28"/>
      <c r="V496" s="29"/>
      <c r="W496" s="32"/>
      <c r="X496" s="32"/>
      <c r="Y496" s="31"/>
    </row>
    <row r="497" ht="22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28"/>
      <c r="U497" s="28"/>
      <c r="V497" s="29"/>
      <c r="W497" s="32"/>
      <c r="X497" s="32"/>
      <c r="Y497" s="31"/>
    </row>
    <row r="498" ht="22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28"/>
      <c r="U498" s="28"/>
      <c r="V498" s="29"/>
      <c r="W498" s="32"/>
      <c r="X498" s="32"/>
      <c r="Y498" s="31"/>
    </row>
    <row r="499" ht="22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28"/>
      <c r="U499" s="28"/>
      <c r="V499" s="29"/>
      <c r="W499" s="32"/>
      <c r="X499" s="32"/>
      <c r="Y499" s="31"/>
    </row>
    <row r="500" ht="22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28"/>
      <c r="U500" s="28"/>
      <c r="V500" s="29"/>
      <c r="W500" s="32"/>
      <c r="X500" s="32"/>
      <c r="Y500" s="31"/>
    </row>
    <row r="501" ht="22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28"/>
      <c r="U501" s="28"/>
      <c r="V501" s="29"/>
      <c r="W501" s="32"/>
      <c r="X501" s="32"/>
      <c r="Y501" s="31"/>
    </row>
    <row r="502" ht="22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28"/>
      <c r="U502" s="28"/>
      <c r="V502" s="29"/>
      <c r="W502" s="32"/>
      <c r="X502" s="32"/>
      <c r="Y502" s="31"/>
    </row>
    <row r="503" ht="22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28"/>
      <c r="U503" s="28"/>
      <c r="V503" s="29"/>
      <c r="W503" s="32"/>
      <c r="X503" s="32"/>
      <c r="Y503" s="31"/>
    </row>
    <row r="504" ht="22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28"/>
      <c r="U504" s="28"/>
      <c r="V504" s="29"/>
      <c r="W504" s="32"/>
      <c r="X504" s="32"/>
      <c r="Y504" s="31"/>
    </row>
    <row r="505" ht="22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28"/>
      <c r="U505" s="28"/>
      <c r="V505" s="29"/>
      <c r="W505" s="32"/>
      <c r="X505" s="32"/>
      <c r="Y505" s="31"/>
    </row>
    <row r="506" ht="22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28"/>
      <c r="U506" s="28"/>
      <c r="V506" s="29"/>
      <c r="W506" s="32"/>
      <c r="X506" s="32"/>
      <c r="Y506" s="31"/>
    </row>
    <row r="507" ht="22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28"/>
      <c r="U507" s="28"/>
      <c r="V507" s="29"/>
      <c r="W507" s="32"/>
      <c r="X507" s="32"/>
      <c r="Y507" s="31"/>
    </row>
    <row r="508" ht="22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28"/>
      <c r="U508" s="28"/>
      <c r="V508" s="29"/>
      <c r="W508" s="32"/>
      <c r="X508" s="32"/>
      <c r="Y508" s="31"/>
    </row>
    <row r="509" ht="22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28"/>
      <c r="U509" s="28"/>
      <c r="V509" s="29"/>
      <c r="W509" s="32"/>
      <c r="X509" s="32"/>
      <c r="Y509" s="31"/>
    </row>
    <row r="510" ht="22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28"/>
      <c r="U510" s="28"/>
      <c r="V510" s="29"/>
      <c r="W510" s="32"/>
      <c r="X510" s="32"/>
      <c r="Y510" s="31"/>
    </row>
    <row r="511" ht="22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28"/>
      <c r="U511" s="28"/>
      <c r="V511" s="29"/>
      <c r="W511" s="32"/>
      <c r="X511" s="32"/>
      <c r="Y511" s="31"/>
    </row>
    <row r="512" ht="22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28"/>
      <c r="U512" s="28"/>
      <c r="V512" s="29"/>
      <c r="W512" s="32"/>
      <c r="X512" s="32"/>
      <c r="Y512" s="31"/>
    </row>
    <row r="513" ht="22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28"/>
      <c r="U513" s="28"/>
      <c r="V513" s="29"/>
      <c r="W513" s="32"/>
      <c r="X513" s="32"/>
      <c r="Y513" s="31"/>
    </row>
    <row r="514" ht="22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28"/>
      <c r="U514" s="28"/>
      <c r="V514" s="29"/>
      <c r="W514" s="32"/>
      <c r="X514" s="32"/>
      <c r="Y514" s="31"/>
    </row>
    <row r="515" ht="22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28"/>
      <c r="U515" s="28"/>
      <c r="V515" s="29"/>
      <c r="W515" s="32"/>
      <c r="X515" s="32"/>
      <c r="Y515" s="31"/>
    </row>
    <row r="516" ht="22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28"/>
      <c r="U516" s="28"/>
      <c r="V516" s="29"/>
      <c r="W516" s="32"/>
      <c r="X516" s="32"/>
      <c r="Y516" s="31"/>
    </row>
    <row r="517" ht="22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28"/>
      <c r="U517" s="28"/>
      <c r="V517" s="29"/>
      <c r="W517" s="32"/>
      <c r="X517" s="32"/>
      <c r="Y517" s="31"/>
    </row>
    <row r="518" ht="22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28"/>
      <c r="U518" s="28"/>
      <c r="V518" s="29"/>
      <c r="W518" s="32"/>
      <c r="X518" s="32"/>
      <c r="Y518" s="31"/>
    </row>
    <row r="519" ht="22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28"/>
      <c r="U519" s="28"/>
      <c r="V519" s="29"/>
      <c r="W519" s="32"/>
      <c r="X519" s="32"/>
      <c r="Y519" s="31"/>
    </row>
    <row r="520" ht="22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28"/>
      <c r="U520" s="28"/>
      <c r="V520" s="29"/>
      <c r="W520" s="32"/>
      <c r="X520" s="32"/>
      <c r="Y520" s="31"/>
    </row>
    <row r="521" ht="22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28"/>
      <c r="U521" s="28"/>
      <c r="V521" s="29"/>
      <c r="W521" s="32"/>
      <c r="X521" s="32"/>
      <c r="Y521" s="31"/>
    </row>
    <row r="522" ht="22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28"/>
      <c r="U522" s="28"/>
      <c r="V522" s="29"/>
      <c r="W522" s="32"/>
      <c r="X522" s="32"/>
      <c r="Y522" s="31"/>
    </row>
    <row r="523" ht="22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28"/>
      <c r="U523" s="28"/>
      <c r="V523" s="29"/>
      <c r="W523" s="32"/>
      <c r="X523" s="32"/>
      <c r="Y523" s="31"/>
    </row>
    <row r="524" ht="22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28"/>
      <c r="U524" s="28"/>
      <c r="V524" s="29"/>
      <c r="W524" s="32"/>
      <c r="X524" s="32"/>
      <c r="Y524" s="31"/>
    </row>
    <row r="525" ht="22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28"/>
      <c r="U525" s="28"/>
      <c r="V525" s="29"/>
      <c r="W525" s="32"/>
      <c r="X525" s="32"/>
      <c r="Y525" s="31"/>
    </row>
    <row r="526" ht="22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28"/>
      <c r="U526" s="28"/>
      <c r="V526" s="29"/>
      <c r="W526" s="32"/>
      <c r="X526" s="32"/>
      <c r="Y526" s="31"/>
    </row>
    <row r="527" ht="22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28"/>
      <c r="U527" s="28"/>
      <c r="V527" s="29"/>
      <c r="W527" s="32"/>
      <c r="X527" s="32"/>
      <c r="Y527" s="31"/>
    </row>
    <row r="528" ht="22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28"/>
      <c r="U528" s="28"/>
      <c r="V528" s="29"/>
      <c r="W528" s="32"/>
      <c r="X528" s="32"/>
      <c r="Y528" s="31"/>
    </row>
    <row r="529" ht="22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28"/>
      <c r="U529" s="28"/>
      <c r="V529" s="29"/>
      <c r="W529" s="32"/>
      <c r="X529" s="32"/>
      <c r="Y529" s="31"/>
    </row>
    <row r="530" ht="22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28"/>
      <c r="U530" s="28"/>
      <c r="V530" s="29"/>
      <c r="W530" s="32"/>
      <c r="X530" s="32"/>
      <c r="Y530" s="31"/>
    </row>
    <row r="531" ht="22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28"/>
      <c r="U531" s="28"/>
      <c r="V531" s="29"/>
      <c r="W531" s="32"/>
      <c r="X531" s="32"/>
      <c r="Y531" s="31"/>
    </row>
    <row r="532" ht="22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28"/>
      <c r="U532" s="28"/>
      <c r="V532" s="29"/>
      <c r="W532" s="32"/>
      <c r="X532" s="32"/>
      <c r="Y532" s="31"/>
    </row>
    <row r="533" ht="22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28"/>
      <c r="U533" s="28"/>
      <c r="V533" s="29"/>
      <c r="W533" s="32"/>
      <c r="X533" s="32"/>
      <c r="Y533" s="31"/>
    </row>
    <row r="534" ht="22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28"/>
      <c r="U534" s="28"/>
      <c r="V534" s="29"/>
      <c r="W534" s="32"/>
      <c r="X534" s="32"/>
      <c r="Y534" s="31"/>
    </row>
    <row r="535" ht="22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28"/>
      <c r="U535" s="28"/>
      <c r="V535" s="29"/>
      <c r="W535" s="32"/>
      <c r="X535" s="32"/>
      <c r="Y535" s="31"/>
    </row>
    <row r="536" ht="22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28"/>
      <c r="U536" s="28"/>
      <c r="V536" s="29"/>
      <c r="W536" s="32"/>
      <c r="X536" s="32"/>
      <c r="Y536" s="31"/>
    </row>
    <row r="537" ht="22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28"/>
      <c r="U537" s="28"/>
      <c r="V537" s="29"/>
      <c r="W537" s="32"/>
      <c r="X537" s="32"/>
      <c r="Y537" s="31"/>
    </row>
    <row r="538" ht="22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28"/>
      <c r="U538" s="28"/>
      <c r="V538" s="29"/>
      <c r="W538" s="32"/>
      <c r="X538" s="32"/>
      <c r="Y538" s="31"/>
    </row>
    <row r="539" ht="22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28"/>
      <c r="U539" s="28"/>
      <c r="V539" s="29"/>
      <c r="W539" s="32"/>
      <c r="X539" s="32"/>
      <c r="Y539" s="31"/>
    </row>
    <row r="540" ht="22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28"/>
      <c r="U540" s="28"/>
      <c r="V540" s="29"/>
      <c r="W540" s="32"/>
      <c r="X540" s="32"/>
      <c r="Y540" s="31"/>
    </row>
    <row r="541" ht="22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28"/>
      <c r="U541" s="28"/>
      <c r="V541" s="29"/>
      <c r="W541" s="32"/>
      <c r="X541" s="32"/>
      <c r="Y541" s="31"/>
    </row>
    <row r="542" ht="22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28"/>
      <c r="U542" s="28"/>
      <c r="V542" s="29"/>
      <c r="W542" s="32"/>
      <c r="X542" s="32"/>
      <c r="Y542" s="31"/>
    </row>
    <row r="543" ht="22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28"/>
      <c r="U543" s="28"/>
      <c r="V543" s="29"/>
      <c r="W543" s="32"/>
      <c r="X543" s="32"/>
      <c r="Y543" s="31"/>
    </row>
    <row r="544" ht="22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28"/>
      <c r="U544" s="28"/>
      <c r="V544" s="29"/>
      <c r="W544" s="32"/>
      <c r="X544" s="32"/>
      <c r="Y544" s="31"/>
    </row>
    <row r="545" ht="22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28"/>
      <c r="U545" s="28"/>
      <c r="V545" s="29"/>
      <c r="W545" s="32"/>
      <c r="X545" s="32"/>
      <c r="Y545" s="31"/>
    </row>
    <row r="546" ht="22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28"/>
      <c r="U546" s="28"/>
      <c r="V546" s="29"/>
      <c r="W546" s="32"/>
      <c r="X546" s="32"/>
      <c r="Y546" s="31"/>
    </row>
    <row r="547" ht="22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28"/>
      <c r="U547" s="28"/>
      <c r="V547" s="29"/>
      <c r="W547" s="32"/>
      <c r="X547" s="32"/>
      <c r="Y547" s="31"/>
    </row>
    <row r="548" ht="22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28"/>
      <c r="U548" s="28"/>
      <c r="V548" s="29"/>
      <c r="W548" s="32"/>
      <c r="X548" s="32"/>
      <c r="Y548" s="31"/>
    </row>
    <row r="549" ht="22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28"/>
      <c r="U549" s="28"/>
      <c r="V549" s="29"/>
      <c r="W549" s="32"/>
      <c r="X549" s="32"/>
      <c r="Y549" s="31"/>
    </row>
    <row r="550" ht="22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28"/>
      <c r="U550" s="28"/>
      <c r="V550" s="29"/>
      <c r="W550" s="32"/>
      <c r="X550" s="32"/>
      <c r="Y550" s="31"/>
    </row>
    <row r="551" ht="22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28"/>
      <c r="U551" s="28"/>
      <c r="V551" s="29"/>
      <c r="W551" s="32"/>
      <c r="X551" s="32"/>
      <c r="Y551" s="31"/>
    </row>
    <row r="552" ht="22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28"/>
      <c r="U552" s="28"/>
      <c r="V552" s="29"/>
      <c r="W552" s="32"/>
      <c r="X552" s="32"/>
      <c r="Y552" s="31"/>
    </row>
    <row r="553" ht="22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28"/>
      <c r="U553" s="28"/>
      <c r="V553" s="29"/>
      <c r="W553" s="32"/>
      <c r="X553" s="32"/>
      <c r="Y553" s="31"/>
    </row>
    <row r="554" ht="22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28"/>
      <c r="U554" s="28"/>
      <c r="V554" s="29"/>
      <c r="W554" s="32"/>
      <c r="X554" s="32"/>
      <c r="Y554" s="31"/>
    </row>
    <row r="555" ht="22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28"/>
      <c r="U555" s="28"/>
      <c r="V555" s="29"/>
      <c r="W555" s="32"/>
      <c r="X555" s="32"/>
      <c r="Y555" s="31"/>
    </row>
    <row r="556" ht="22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28"/>
      <c r="U556" s="28"/>
      <c r="V556" s="29"/>
      <c r="W556" s="32"/>
      <c r="X556" s="32"/>
      <c r="Y556" s="31"/>
    </row>
    <row r="557" ht="22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28"/>
      <c r="U557" s="28"/>
      <c r="V557" s="29"/>
      <c r="W557" s="32"/>
      <c r="X557" s="32"/>
      <c r="Y557" s="31"/>
    </row>
    <row r="558" ht="22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28"/>
      <c r="U558" s="28"/>
      <c r="V558" s="29"/>
      <c r="W558" s="32"/>
      <c r="X558" s="32"/>
      <c r="Y558" s="31"/>
    </row>
    <row r="559" ht="22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28"/>
      <c r="U559" s="28"/>
      <c r="V559" s="29"/>
      <c r="W559" s="32"/>
      <c r="X559" s="32"/>
      <c r="Y559" s="31"/>
    </row>
    <row r="560" ht="22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28"/>
      <c r="U560" s="28"/>
      <c r="V560" s="29"/>
      <c r="W560" s="32"/>
      <c r="X560" s="32"/>
      <c r="Y560" s="31"/>
    </row>
    <row r="561" ht="22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28"/>
      <c r="U561" s="28"/>
      <c r="V561" s="29"/>
      <c r="W561" s="32"/>
      <c r="X561" s="32"/>
      <c r="Y561" s="31"/>
    </row>
    <row r="562" ht="22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28"/>
      <c r="U562" s="28"/>
      <c r="V562" s="29"/>
      <c r="W562" s="32"/>
      <c r="X562" s="32"/>
      <c r="Y562" s="31"/>
    </row>
    <row r="563" ht="22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28"/>
      <c r="U563" s="28"/>
      <c r="V563" s="29"/>
      <c r="W563" s="32"/>
      <c r="X563" s="32"/>
      <c r="Y563" s="31"/>
    </row>
    <row r="564" ht="22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28"/>
      <c r="U564" s="28"/>
      <c r="V564" s="29"/>
      <c r="W564" s="32"/>
      <c r="X564" s="32"/>
      <c r="Y564" s="31"/>
    </row>
    <row r="565" ht="22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28"/>
      <c r="U565" s="28"/>
      <c r="V565" s="29"/>
      <c r="W565" s="32"/>
      <c r="X565" s="32"/>
      <c r="Y565" s="31"/>
    </row>
    <row r="566" ht="22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28"/>
      <c r="U566" s="28"/>
      <c r="V566" s="29"/>
      <c r="W566" s="32"/>
      <c r="X566" s="32"/>
      <c r="Y566" s="31"/>
    </row>
    <row r="567" ht="22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28"/>
      <c r="U567" s="28"/>
      <c r="V567" s="29"/>
      <c r="W567" s="32"/>
      <c r="X567" s="32"/>
      <c r="Y567" s="31"/>
    </row>
    <row r="568" ht="22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28"/>
      <c r="U568" s="28"/>
      <c r="V568" s="29"/>
      <c r="W568" s="32"/>
      <c r="X568" s="32"/>
      <c r="Y568" s="31"/>
    </row>
    <row r="569" ht="22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28"/>
      <c r="U569" s="28"/>
      <c r="V569" s="29"/>
      <c r="W569" s="32"/>
      <c r="X569" s="32"/>
      <c r="Y569" s="31"/>
    </row>
    <row r="570" ht="22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28"/>
      <c r="U570" s="28"/>
      <c r="V570" s="29"/>
      <c r="W570" s="32"/>
      <c r="X570" s="32"/>
      <c r="Y570" s="31"/>
    </row>
    <row r="571" ht="22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28"/>
      <c r="U571" s="28"/>
      <c r="V571" s="29"/>
      <c r="W571" s="32"/>
      <c r="X571" s="32"/>
      <c r="Y571" s="31"/>
    </row>
    <row r="572" ht="22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28"/>
      <c r="U572" s="28"/>
      <c r="V572" s="29"/>
      <c r="W572" s="32"/>
      <c r="X572" s="32"/>
      <c r="Y572" s="31"/>
    </row>
    <row r="573" ht="22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28"/>
      <c r="U573" s="28"/>
      <c r="V573" s="29"/>
      <c r="W573" s="32"/>
      <c r="X573" s="32"/>
      <c r="Y573" s="31"/>
    </row>
    <row r="574" ht="22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28"/>
      <c r="U574" s="28"/>
      <c r="V574" s="29"/>
      <c r="W574" s="32"/>
      <c r="X574" s="32"/>
      <c r="Y574" s="31"/>
    </row>
    <row r="575" ht="22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28"/>
      <c r="U575" s="28"/>
      <c r="V575" s="29"/>
      <c r="W575" s="32"/>
      <c r="X575" s="32"/>
      <c r="Y575" s="31"/>
    </row>
    <row r="576" ht="22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28"/>
      <c r="U576" s="28"/>
      <c r="V576" s="29"/>
      <c r="W576" s="32"/>
      <c r="X576" s="32"/>
      <c r="Y576" s="31"/>
    </row>
    <row r="577" ht="22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28"/>
      <c r="U577" s="28"/>
      <c r="V577" s="29"/>
      <c r="W577" s="32"/>
      <c r="X577" s="32"/>
      <c r="Y577" s="31"/>
    </row>
    <row r="578" ht="22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28"/>
      <c r="U578" s="28"/>
      <c r="V578" s="29"/>
      <c r="W578" s="32"/>
      <c r="X578" s="32"/>
      <c r="Y578" s="31"/>
    </row>
    <row r="579" ht="22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28"/>
      <c r="U579" s="28"/>
      <c r="V579" s="29"/>
      <c r="W579" s="32"/>
      <c r="X579" s="32"/>
      <c r="Y579" s="31"/>
    </row>
    <row r="580" ht="22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28"/>
      <c r="U580" s="28"/>
      <c r="V580" s="29"/>
      <c r="W580" s="32"/>
      <c r="X580" s="32"/>
      <c r="Y580" s="31"/>
    </row>
    <row r="581" ht="22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28"/>
      <c r="U581" s="28"/>
      <c r="V581" s="29"/>
      <c r="W581" s="32"/>
      <c r="X581" s="32"/>
      <c r="Y581" s="31"/>
    </row>
    <row r="582" ht="22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28"/>
      <c r="U582" s="28"/>
      <c r="V582" s="29"/>
      <c r="W582" s="32"/>
      <c r="X582" s="32"/>
      <c r="Y582" s="31"/>
    </row>
    <row r="583" ht="22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28"/>
      <c r="U583" s="28"/>
      <c r="V583" s="29"/>
      <c r="W583" s="32"/>
      <c r="X583" s="32"/>
      <c r="Y583" s="31"/>
    </row>
    <row r="584" ht="22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28"/>
      <c r="U584" s="28"/>
      <c r="V584" s="29"/>
      <c r="W584" s="32"/>
      <c r="X584" s="32"/>
      <c r="Y584" s="31"/>
    </row>
    <row r="585" ht="22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28"/>
      <c r="U585" s="28"/>
      <c r="V585" s="29"/>
      <c r="W585" s="32"/>
      <c r="X585" s="32"/>
      <c r="Y585" s="31"/>
    </row>
    <row r="586" ht="22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28"/>
      <c r="U586" s="28"/>
      <c r="V586" s="29"/>
      <c r="W586" s="32"/>
      <c r="X586" s="32"/>
      <c r="Y586" s="31"/>
    </row>
    <row r="587" ht="22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28"/>
      <c r="U587" s="28"/>
      <c r="V587" s="29"/>
      <c r="W587" s="32"/>
      <c r="X587" s="32"/>
      <c r="Y587" s="31"/>
    </row>
    <row r="588" ht="22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28"/>
      <c r="U588" s="28"/>
      <c r="V588" s="29"/>
      <c r="W588" s="32"/>
      <c r="X588" s="32"/>
      <c r="Y588" s="31"/>
    </row>
    <row r="589" ht="22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28"/>
      <c r="U589" s="28"/>
      <c r="V589" s="29"/>
      <c r="W589" s="32"/>
      <c r="X589" s="32"/>
      <c r="Y589" s="31"/>
    </row>
    <row r="590" ht="22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28"/>
      <c r="U590" s="28"/>
      <c r="V590" s="29"/>
      <c r="W590" s="32"/>
      <c r="X590" s="32"/>
      <c r="Y590" s="31"/>
    </row>
    <row r="591" ht="22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28"/>
      <c r="U591" s="28"/>
      <c r="V591" s="29"/>
      <c r="W591" s="32"/>
      <c r="X591" s="32"/>
      <c r="Y591" s="31"/>
    </row>
    <row r="592" ht="22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28"/>
      <c r="U592" s="28"/>
      <c r="V592" s="29"/>
      <c r="W592" s="32"/>
      <c r="X592" s="32"/>
      <c r="Y592" s="31"/>
    </row>
    <row r="593" ht="22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28"/>
      <c r="U593" s="28"/>
      <c r="V593" s="29"/>
      <c r="W593" s="32"/>
      <c r="X593" s="32"/>
      <c r="Y593" s="31"/>
    </row>
    <row r="594" ht="22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28"/>
      <c r="U594" s="28"/>
      <c r="V594" s="29"/>
      <c r="W594" s="32"/>
      <c r="X594" s="32"/>
      <c r="Y594" s="31"/>
    </row>
    <row r="595" ht="22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28"/>
      <c r="U595" s="28"/>
      <c r="V595" s="29"/>
      <c r="W595" s="32"/>
      <c r="X595" s="32"/>
      <c r="Y595" s="31"/>
    </row>
    <row r="596" ht="22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28"/>
      <c r="U596" s="28"/>
      <c r="V596" s="29"/>
      <c r="W596" s="32"/>
      <c r="X596" s="32"/>
      <c r="Y596" s="31"/>
    </row>
    <row r="597" ht="22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28"/>
      <c r="U597" s="28"/>
      <c r="V597" s="29"/>
      <c r="W597" s="32"/>
      <c r="X597" s="32"/>
      <c r="Y597" s="31"/>
    </row>
    <row r="598" ht="22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28"/>
      <c r="U598" s="28"/>
      <c r="V598" s="29"/>
      <c r="W598" s="32"/>
      <c r="X598" s="32"/>
      <c r="Y598" s="31"/>
    </row>
    <row r="599" ht="22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28"/>
      <c r="U599" s="28"/>
      <c r="V599" s="29"/>
      <c r="W599" s="32"/>
      <c r="X599" s="32"/>
      <c r="Y599" s="31"/>
    </row>
    <row r="600" ht="22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28"/>
      <c r="U600" s="28"/>
      <c r="V600" s="29"/>
      <c r="W600" s="32"/>
      <c r="X600" s="32"/>
      <c r="Y600" s="31"/>
    </row>
    <row r="601" ht="22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28"/>
      <c r="U601" s="28"/>
      <c r="V601" s="29"/>
      <c r="W601" s="32"/>
      <c r="X601" s="32"/>
      <c r="Y601" s="31"/>
    </row>
    <row r="602" ht="22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28"/>
      <c r="U602" s="28"/>
      <c r="V602" s="29"/>
      <c r="W602" s="32"/>
      <c r="X602" s="32"/>
      <c r="Y602" s="31"/>
    </row>
    <row r="603" ht="22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28"/>
      <c r="U603" s="28"/>
      <c r="V603" s="29"/>
      <c r="W603" s="32"/>
      <c r="X603" s="32"/>
      <c r="Y603" s="31"/>
    </row>
    <row r="604" ht="22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28"/>
      <c r="U604" s="28"/>
      <c r="V604" s="29"/>
      <c r="W604" s="32"/>
      <c r="X604" s="32"/>
      <c r="Y604" s="31"/>
    </row>
    <row r="605" ht="22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28"/>
      <c r="U605" s="28"/>
      <c r="V605" s="29"/>
      <c r="W605" s="32"/>
      <c r="X605" s="32"/>
      <c r="Y605" s="31"/>
    </row>
    <row r="606" ht="22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28"/>
      <c r="U606" s="28"/>
      <c r="V606" s="29"/>
      <c r="W606" s="32"/>
      <c r="X606" s="32"/>
      <c r="Y606" s="31"/>
    </row>
    <row r="607" ht="22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28"/>
      <c r="U607" s="28"/>
      <c r="V607" s="29"/>
      <c r="W607" s="32"/>
      <c r="X607" s="32"/>
      <c r="Y607" s="31"/>
    </row>
    <row r="608" ht="22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28"/>
      <c r="U608" s="28"/>
      <c r="V608" s="29"/>
      <c r="W608" s="32"/>
      <c r="X608" s="32"/>
      <c r="Y608" s="31"/>
    </row>
    <row r="609" ht="22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28"/>
      <c r="U609" s="28"/>
      <c r="V609" s="29"/>
      <c r="W609" s="32"/>
      <c r="X609" s="32"/>
      <c r="Y609" s="31"/>
    </row>
    <row r="610" ht="22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28"/>
      <c r="U610" s="28"/>
      <c r="V610" s="29"/>
      <c r="W610" s="32"/>
      <c r="X610" s="32"/>
      <c r="Y610" s="31"/>
    </row>
    <row r="611" ht="22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28"/>
      <c r="U611" s="28"/>
      <c r="V611" s="29"/>
      <c r="W611" s="32"/>
      <c r="X611" s="32"/>
      <c r="Y611" s="31"/>
    </row>
    <row r="612" ht="22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28"/>
      <c r="U612" s="28"/>
      <c r="V612" s="29"/>
      <c r="W612" s="32"/>
      <c r="X612" s="32"/>
      <c r="Y612" s="31"/>
    </row>
    <row r="613" ht="22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28"/>
      <c r="U613" s="28"/>
      <c r="V613" s="29"/>
      <c r="W613" s="32"/>
      <c r="X613" s="32"/>
      <c r="Y613" s="31"/>
    </row>
    <row r="614" ht="22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28"/>
      <c r="U614" s="28"/>
      <c r="V614" s="29"/>
      <c r="W614" s="32"/>
      <c r="X614" s="32"/>
      <c r="Y614" s="31"/>
    </row>
    <row r="615" ht="22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28"/>
      <c r="U615" s="28"/>
      <c r="V615" s="29"/>
      <c r="W615" s="32"/>
      <c r="X615" s="32"/>
      <c r="Y615" s="31"/>
    </row>
    <row r="616" ht="22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28"/>
      <c r="U616" s="28"/>
      <c r="V616" s="29"/>
      <c r="W616" s="32"/>
      <c r="X616" s="32"/>
      <c r="Y616" s="31"/>
    </row>
    <row r="617" ht="22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28"/>
      <c r="U617" s="28"/>
      <c r="V617" s="29"/>
      <c r="W617" s="32"/>
      <c r="X617" s="32"/>
      <c r="Y617" s="31"/>
    </row>
    <row r="618" ht="22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28"/>
      <c r="U618" s="28"/>
      <c r="V618" s="29"/>
      <c r="W618" s="32"/>
      <c r="X618" s="32"/>
      <c r="Y618" s="31"/>
    </row>
    <row r="619" ht="22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28"/>
      <c r="U619" s="28"/>
      <c r="V619" s="29"/>
      <c r="W619" s="32"/>
      <c r="X619" s="32"/>
      <c r="Y619" s="31"/>
    </row>
    <row r="620" ht="22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28"/>
      <c r="U620" s="28"/>
      <c r="V620" s="29"/>
      <c r="W620" s="32"/>
      <c r="X620" s="32"/>
      <c r="Y620" s="31"/>
    </row>
    <row r="621" ht="22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28"/>
      <c r="U621" s="28"/>
      <c r="V621" s="29"/>
      <c r="W621" s="32"/>
      <c r="X621" s="32"/>
      <c r="Y621" s="31"/>
    </row>
    <row r="622" ht="22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28"/>
      <c r="U622" s="28"/>
      <c r="V622" s="29"/>
      <c r="W622" s="32"/>
      <c r="X622" s="32"/>
      <c r="Y622" s="31"/>
    </row>
    <row r="623" ht="22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28"/>
      <c r="U623" s="28"/>
      <c r="V623" s="29"/>
      <c r="W623" s="32"/>
      <c r="X623" s="32"/>
      <c r="Y623" s="31"/>
    </row>
    <row r="624" ht="22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28"/>
      <c r="U624" s="28"/>
      <c r="V624" s="29"/>
      <c r="W624" s="32"/>
      <c r="X624" s="32"/>
      <c r="Y624" s="31"/>
    </row>
    <row r="625" ht="22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28"/>
      <c r="U625" s="28"/>
      <c r="V625" s="29"/>
      <c r="W625" s="32"/>
      <c r="X625" s="32"/>
      <c r="Y625" s="31"/>
    </row>
    <row r="626" ht="22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28"/>
      <c r="U626" s="28"/>
      <c r="V626" s="29"/>
      <c r="W626" s="32"/>
      <c r="X626" s="32"/>
      <c r="Y626" s="31"/>
    </row>
    <row r="627" ht="22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28"/>
      <c r="U627" s="28"/>
      <c r="V627" s="29"/>
      <c r="W627" s="32"/>
      <c r="X627" s="32"/>
      <c r="Y627" s="31"/>
    </row>
    <row r="628" ht="22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28"/>
      <c r="U628" s="28"/>
      <c r="V628" s="29"/>
      <c r="W628" s="32"/>
      <c r="X628" s="32"/>
      <c r="Y628" s="31"/>
    </row>
    <row r="629" ht="22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28"/>
      <c r="U629" s="28"/>
      <c r="V629" s="29"/>
      <c r="W629" s="32"/>
      <c r="X629" s="32"/>
      <c r="Y629" s="31"/>
    </row>
    <row r="630" ht="22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28"/>
      <c r="U630" s="28"/>
      <c r="V630" s="29"/>
      <c r="W630" s="32"/>
      <c r="X630" s="32"/>
      <c r="Y630" s="31"/>
    </row>
    <row r="631" ht="22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28"/>
      <c r="U631" s="28"/>
      <c r="V631" s="29"/>
      <c r="W631" s="32"/>
      <c r="X631" s="32"/>
      <c r="Y631" s="31"/>
    </row>
    <row r="632" ht="22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28"/>
      <c r="U632" s="28"/>
      <c r="V632" s="29"/>
      <c r="W632" s="32"/>
      <c r="X632" s="32"/>
      <c r="Y632" s="31"/>
    </row>
    <row r="633" ht="22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28"/>
      <c r="U633" s="28"/>
      <c r="V633" s="29"/>
      <c r="W633" s="32"/>
      <c r="X633" s="32"/>
      <c r="Y633" s="31"/>
    </row>
    <row r="634" ht="22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28"/>
      <c r="U634" s="28"/>
      <c r="V634" s="29"/>
      <c r="W634" s="32"/>
      <c r="X634" s="32"/>
      <c r="Y634" s="31"/>
    </row>
    <row r="635" ht="22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28"/>
      <c r="U635" s="28"/>
      <c r="V635" s="29"/>
      <c r="W635" s="32"/>
      <c r="X635" s="32"/>
      <c r="Y635" s="31"/>
    </row>
    <row r="636" ht="22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28"/>
      <c r="U636" s="28"/>
      <c r="V636" s="29"/>
      <c r="W636" s="32"/>
      <c r="X636" s="32"/>
      <c r="Y636" s="31"/>
    </row>
    <row r="637" ht="22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28"/>
      <c r="U637" s="28"/>
      <c r="V637" s="29"/>
      <c r="W637" s="32"/>
      <c r="X637" s="32"/>
      <c r="Y637" s="31"/>
    </row>
    <row r="638" ht="22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28"/>
      <c r="U638" s="28"/>
      <c r="V638" s="29"/>
      <c r="W638" s="32"/>
      <c r="X638" s="32"/>
      <c r="Y638" s="31"/>
    </row>
    <row r="639" ht="22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28"/>
      <c r="U639" s="28"/>
      <c r="V639" s="29"/>
      <c r="W639" s="32"/>
      <c r="X639" s="32"/>
      <c r="Y639" s="31"/>
    </row>
    <row r="640" ht="22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28"/>
      <c r="U640" s="28"/>
      <c r="V640" s="29"/>
      <c r="W640" s="32"/>
      <c r="X640" s="32"/>
      <c r="Y640" s="31"/>
    </row>
    <row r="641" ht="22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28"/>
      <c r="U641" s="28"/>
      <c r="V641" s="29"/>
      <c r="W641" s="32"/>
      <c r="X641" s="32"/>
      <c r="Y641" s="31"/>
    </row>
    <row r="642" ht="22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28"/>
      <c r="U642" s="28"/>
      <c r="V642" s="29"/>
      <c r="W642" s="32"/>
      <c r="X642" s="32"/>
      <c r="Y642" s="31"/>
    </row>
    <row r="643" ht="22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28"/>
      <c r="U643" s="28"/>
      <c r="V643" s="29"/>
      <c r="W643" s="32"/>
      <c r="X643" s="32"/>
      <c r="Y643" s="31"/>
    </row>
    <row r="644" ht="22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28"/>
      <c r="U644" s="28"/>
      <c r="V644" s="29"/>
      <c r="W644" s="32"/>
      <c r="X644" s="32"/>
      <c r="Y644" s="31"/>
    </row>
    <row r="645" ht="22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28"/>
      <c r="U645" s="28"/>
      <c r="V645" s="29"/>
      <c r="W645" s="32"/>
      <c r="X645" s="32"/>
      <c r="Y645" s="31"/>
    </row>
    <row r="646" ht="22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28"/>
      <c r="U646" s="28"/>
      <c r="V646" s="29"/>
      <c r="W646" s="32"/>
      <c r="X646" s="32"/>
      <c r="Y646" s="31"/>
    </row>
    <row r="647" ht="22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28"/>
      <c r="U647" s="28"/>
      <c r="V647" s="29"/>
      <c r="W647" s="32"/>
      <c r="X647" s="32"/>
      <c r="Y647" s="31"/>
    </row>
    <row r="648" ht="22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28"/>
      <c r="U648" s="28"/>
      <c r="V648" s="29"/>
      <c r="W648" s="32"/>
      <c r="X648" s="32"/>
      <c r="Y648" s="31"/>
    </row>
    <row r="649" ht="22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28"/>
      <c r="U649" s="28"/>
      <c r="V649" s="29"/>
      <c r="W649" s="32"/>
      <c r="X649" s="32"/>
      <c r="Y649" s="31"/>
    </row>
    <row r="650" ht="22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28"/>
      <c r="U650" s="28"/>
      <c r="V650" s="29"/>
      <c r="W650" s="32"/>
      <c r="X650" s="32"/>
      <c r="Y650" s="31"/>
    </row>
    <row r="651" ht="22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28"/>
      <c r="U651" s="28"/>
      <c r="V651" s="29"/>
      <c r="W651" s="32"/>
      <c r="X651" s="32"/>
      <c r="Y651" s="31"/>
    </row>
    <row r="652" ht="22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28"/>
      <c r="U652" s="28"/>
      <c r="V652" s="29"/>
      <c r="W652" s="32"/>
      <c r="X652" s="32"/>
      <c r="Y652" s="31"/>
    </row>
    <row r="653" ht="22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28"/>
      <c r="U653" s="28"/>
      <c r="V653" s="29"/>
      <c r="W653" s="32"/>
      <c r="X653" s="32"/>
      <c r="Y653" s="31"/>
    </row>
    <row r="654" ht="22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28"/>
      <c r="U654" s="28"/>
      <c r="V654" s="29"/>
      <c r="W654" s="32"/>
      <c r="X654" s="32"/>
      <c r="Y654" s="31"/>
    </row>
    <row r="655" ht="22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28"/>
      <c r="U655" s="28"/>
      <c r="V655" s="29"/>
      <c r="W655" s="32"/>
      <c r="X655" s="32"/>
      <c r="Y655" s="31"/>
    </row>
    <row r="656" ht="22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28"/>
      <c r="U656" s="28"/>
      <c r="V656" s="29"/>
      <c r="W656" s="32"/>
      <c r="X656" s="32"/>
      <c r="Y656" s="31"/>
    </row>
    <row r="657" ht="22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28"/>
      <c r="U657" s="28"/>
      <c r="V657" s="29"/>
      <c r="W657" s="32"/>
      <c r="X657" s="32"/>
      <c r="Y657" s="31"/>
    </row>
    <row r="658" ht="22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28"/>
      <c r="U658" s="28"/>
      <c r="V658" s="29"/>
      <c r="W658" s="32"/>
      <c r="X658" s="32"/>
      <c r="Y658" s="31"/>
    </row>
    <row r="659" ht="22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28"/>
      <c r="U659" s="28"/>
      <c r="V659" s="29"/>
      <c r="W659" s="32"/>
      <c r="X659" s="32"/>
      <c r="Y659" s="31"/>
    </row>
    <row r="660" ht="22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28"/>
      <c r="U660" s="28"/>
      <c r="V660" s="29"/>
      <c r="W660" s="32"/>
      <c r="X660" s="32"/>
      <c r="Y660" s="31"/>
    </row>
    <row r="661" ht="22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28"/>
      <c r="U661" s="28"/>
      <c r="V661" s="29"/>
      <c r="W661" s="32"/>
      <c r="X661" s="32"/>
      <c r="Y661" s="31"/>
    </row>
    <row r="662" ht="22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28"/>
      <c r="U662" s="28"/>
      <c r="V662" s="29"/>
      <c r="W662" s="32"/>
      <c r="X662" s="32"/>
      <c r="Y662" s="31"/>
    </row>
    <row r="663" ht="22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28"/>
      <c r="U663" s="28"/>
      <c r="V663" s="29"/>
      <c r="W663" s="32"/>
      <c r="X663" s="32"/>
      <c r="Y663" s="31"/>
    </row>
    <row r="664" ht="22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28"/>
      <c r="U664" s="28"/>
      <c r="V664" s="29"/>
      <c r="W664" s="32"/>
      <c r="X664" s="32"/>
      <c r="Y664" s="31"/>
    </row>
    <row r="665" ht="22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28"/>
      <c r="U665" s="28"/>
      <c r="V665" s="29"/>
      <c r="W665" s="32"/>
      <c r="X665" s="32"/>
      <c r="Y665" s="31"/>
    </row>
    <row r="666" ht="22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28"/>
      <c r="U666" s="28"/>
      <c r="V666" s="29"/>
      <c r="W666" s="32"/>
      <c r="X666" s="32"/>
      <c r="Y666" s="31"/>
    </row>
    <row r="667" ht="22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28"/>
      <c r="U667" s="28"/>
      <c r="V667" s="29"/>
      <c r="W667" s="32"/>
      <c r="X667" s="32"/>
      <c r="Y667" s="31"/>
    </row>
    <row r="668" ht="22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28"/>
      <c r="U668" s="28"/>
      <c r="V668" s="29"/>
      <c r="W668" s="32"/>
      <c r="X668" s="32"/>
      <c r="Y668" s="31"/>
    </row>
    <row r="669" ht="22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28"/>
      <c r="U669" s="28"/>
      <c r="V669" s="29"/>
      <c r="W669" s="32"/>
      <c r="X669" s="32"/>
      <c r="Y669" s="31"/>
    </row>
    <row r="670" ht="22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28"/>
      <c r="U670" s="28"/>
      <c r="V670" s="29"/>
      <c r="W670" s="32"/>
      <c r="X670" s="32"/>
      <c r="Y670" s="31"/>
    </row>
    <row r="671" ht="22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28"/>
      <c r="U671" s="28"/>
      <c r="V671" s="29"/>
      <c r="W671" s="32"/>
      <c r="X671" s="32"/>
      <c r="Y671" s="31"/>
    </row>
    <row r="672" ht="22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28"/>
      <c r="U672" s="28"/>
      <c r="V672" s="29"/>
      <c r="W672" s="32"/>
      <c r="X672" s="32"/>
      <c r="Y672" s="31"/>
    </row>
    <row r="673" ht="22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28"/>
      <c r="U673" s="28"/>
      <c r="V673" s="29"/>
      <c r="W673" s="32"/>
      <c r="X673" s="32"/>
      <c r="Y673" s="31"/>
    </row>
    <row r="674" ht="22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28"/>
      <c r="U674" s="28"/>
      <c r="V674" s="29"/>
      <c r="W674" s="32"/>
      <c r="X674" s="32"/>
      <c r="Y674" s="31"/>
    </row>
    <row r="675" ht="22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28"/>
      <c r="U675" s="28"/>
      <c r="V675" s="29"/>
      <c r="W675" s="32"/>
      <c r="X675" s="32"/>
      <c r="Y675" s="31"/>
    </row>
    <row r="676" ht="22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28"/>
      <c r="U676" s="28"/>
      <c r="V676" s="29"/>
      <c r="W676" s="32"/>
      <c r="X676" s="32"/>
      <c r="Y676" s="31"/>
    </row>
    <row r="677" ht="22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28"/>
      <c r="U677" s="28"/>
      <c r="V677" s="29"/>
      <c r="W677" s="32"/>
      <c r="X677" s="32"/>
      <c r="Y677" s="31"/>
    </row>
    <row r="678" ht="22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28"/>
      <c r="U678" s="28"/>
      <c r="V678" s="29"/>
      <c r="W678" s="32"/>
      <c r="X678" s="32"/>
      <c r="Y678" s="31"/>
    </row>
    <row r="679" ht="22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28"/>
      <c r="U679" s="28"/>
      <c r="V679" s="29"/>
      <c r="W679" s="32"/>
      <c r="X679" s="32"/>
      <c r="Y679" s="31"/>
    </row>
    <row r="680" ht="22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28"/>
      <c r="U680" s="28"/>
      <c r="V680" s="29"/>
      <c r="W680" s="32"/>
      <c r="X680" s="32"/>
      <c r="Y680" s="31"/>
    </row>
    <row r="681" ht="22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28"/>
      <c r="U681" s="28"/>
      <c r="V681" s="29"/>
      <c r="W681" s="32"/>
      <c r="X681" s="32"/>
      <c r="Y681" s="31"/>
    </row>
    <row r="682" ht="22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28"/>
      <c r="U682" s="28"/>
      <c r="V682" s="29"/>
      <c r="W682" s="32"/>
      <c r="X682" s="32"/>
      <c r="Y682" s="31"/>
    </row>
    <row r="683" ht="22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28"/>
      <c r="U683" s="28"/>
      <c r="V683" s="29"/>
      <c r="W683" s="32"/>
      <c r="X683" s="32"/>
      <c r="Y683" s="31"/>
    </row>
    <row r="684" ht="22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28"/>
      <c r="U684" s="28"/>
      <c r="V684" s="29"/>
      <c r="W684" s="32"/>
      <c r="X684" s="32"/>
      <c r="Y684" s="31"/>
    </row>
    <row r="685" ht="22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28"/>
      <c r="U685" s="28"/>
      <c r="V685" s="29"/>
      <c r="W685" s="32"/>
      <c r="X685" s="32"/>
      <c r="Y685" s="31"/>
    </row>
    <row r="686" ht="22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28"/>
      <c r="U686" s="28"/>
      <c r="V686" s="29"/>
      <c r="W686" s="32"/>
      <c r="X686" s="32"/>
      <c r="Y686" s="31"/>
    </row>
    <row r="687" ht="22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28"/>
      <c r="U687" s="28"/>
      <c r="V687" s="29"/>
      <c r="W687" s="32"/>
      <c r="X687" s="32"/>
      <c r="Y687" s="31"/>
    </row>
    <row r="688" ht="22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28"/>
      <c r="U688" s="28"/>
      <c r="V688" s="29"/>
      <c r="W688" s="32"/>
      <c r="X688" s="32"/>
      <c r="Y688" s="31"/>
    </row>
    <row r="689" ht="22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28"/>
      <c r="U689" s="28"/>
      <c r="V689" s="29"/>
      <c r="W689" s="32"/>
      <c r="X689" s="32"/>
      <c r="Y689" s="31"/>
    </row>
    <row r="690" ht="22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28"/>
      <c r="U690" s="28"/>
      <c r="V690" s="29"/>
      <c r="W690" s="32"/>
      <c r="X690" s="32"/>
      <c r="Y690" s="31"/>
    </row>
    <row r="691" ht="22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28"/>
      <c r="U691" s="28"/>
      <c r="V691" s="29"/>
      <c r="W691" s="32"/>
      <c r="X691" s="32"/>
      <c r="Y691" s="31"/>
    </row>
    <row r="692" ht="22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28"/>
      <c r="U692" s="28"/>
      <c r="V692" s="29"/>
      <c r="W692" s="32"/>
      <c r="X692" s="32"/>
      <c r="Y692" s="31"/>
    </row>
    <row r="693" ht="22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28"/>
      <c r="U693" s="28"/>
      <c r="V693" s="29"/>
      <c r="W693" s="32"/>
      <c r="X693" s="32"/>
      <c r="Y693" s="31"/>
    </row>
    <row r="694" ht="22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28"/>
      <c r="U694" s="28"/>
      <c r="V694" s="29"/>
      <c r="W694" s="32"/>
      <c r="X694" s="32"/>
      <c r="Y694" s="31"/>
    </row>
    <row r="695" ht="22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28"/>
      <c r="U695" s="28"/>
      <c r="V695" s="29"/>
      <c r="W695" s="32"/>
      <c r="X695" s="32"/>
      <c r="Y695" s="31"/>
    </row>
    <row r="696" ht="22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28"/>
      <c r="U696" s="28"/>
      <c r="V696" s="29"/>
      <c r="W696" s="32"/>
      <c r="X696" s="32"/>
      <c r="Y696" s="31"/>
    </row>
    <row r="697" ht="22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28"/>
      <c r="U697" s="28"/>
      <c r="V697" s="29"/>
      <c r="W697" s="32"/>
      <c r="X697" s="32"/>
      <c r="Y697" s="31"/>
    </row>
    <row r="698" ht="22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28"/>
      <c r="U698" s="28"/>
      <c r="V698" s="29"/>
      <c r="W698" s="32"/>
      <c r="X698" s="32"/>
      <c r="Y698" s="31"/>
    </row>
    <row r="699" ht="22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28"/>
      <c r="U699" s="28"/>
      <c r="V699" s="29"/>
      <c r="W699" s="32"/>
      <c r="X699" s="32"/>
      <c r="Y699" s="31"/>
    </row>
    <row r="700" ht="22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28"/>
      <c r="U700" s="28"/>
      <c r="V700" s="29"/>
      <c r="W700" s="32"/>
      <c r="X700" s="32"/>
      <c r="Y700" s="31"/>
    </row>
    <row r="701" ht="22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28"/>
      <c r="U701" s="28"/>
      <c r="V701" s="29"/>
      <c r="W701" s="32"/>
      <c r="X701" s="32"/>
      <c r="Y701" s="31"/>
    </row>
    <row r="702" ht="22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28"/>
      <c r="U702" s="28"/>
      <c r="V702" s="29"/>
      <c r="W702" s="32"/>
      <c r="X702" s="32"/>
      <c r="Y702" s="31"/>
    </row>
    <row r="703" ht="22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28"/>
      <c r="U703" s="28"/>
      <c r="V703" s="29"/>
      <c r="W703" s="32"/>
      <c r="X703" s="32"/>
      <c r="Y703" s="31"/>
    </row>
    <row r="704" ht="22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28"/>
      <c r="U704" s="28"/>
      <c r="V704" s="29"/>
      <c r="W704" s="32"/>
      <c r="X704" s="32"/>
      <c r="Y704" s="31"/>
    </row>
    <row r="705" ht="22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28"/>
      <c r="U705" s="28"/>
      <c r="V705" s="29"/>
      <c r="W705" s="32"/>
      <c r="X705" s="32"/>
      <c r="Y705" s="31"/>
    </row>
    <row r="706" ht="22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28"/>
      <c r="U706" s="28"/>
      <c r="V706" s="29"/>
      <c r="W706" s="32"/>
      <c r="X706" s="32"/>
      <c r="Y706" s="31"/>
    </row>
    <row r="707" ht="22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28"/>
      <c r="U707" s="28"/>
      <c r="V707" s="29"/>
      <c r="W707" s="32"/>
      <c r="X707" s="32"/>
      <c r="Y707" s="31"/>
    </row>
    <row r="708" ht="22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28"/>
      <c r="U708" s="28"/>
      <c r="V708" s="29"/>
      <c r="W708" s="32"/>
      <c r="X708" s="32"/>
      <c r="Y708" s="31"/>
    </row>
    <row r="709" ht="22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28"/>
      <c r="U709" s="28"/>
      <c r="V709" s="29"/>
      <c r="W709" s="32"/>
      <c r="X709" s="32"/>
      <c r="Y709" s="31"/>
    </row>
    <row r="710" ht="22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28"/>
      <c r="U710" s="28"/>
      <c r="V710" s="29"/>
      <c r="W710" s="32"/>
      <c r="X710" s="32"/>
      <c r="Y710" s="31"/>
    </row>
    <row r="711" ht="22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28"/>
      <c r="U711" s="28"/>
      <c r="V711" s="29"/>
      <c r="W711" s="32"/>
      <c r="X711" s="32"/>
      <c r="Y711" s="31"/>
    </row>
    <row r="712" ht="22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28"/>
      <c r="U712" s="28"/>
      <c r="V712" s="29"/>
      <c r="W712" s="32"/>
      <c r="X712" s="32"/>
      <c r="Y712" s="31"/>
    </row>
    <row r="713" ht="22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28"/>
      <c r="U713" s="28"/>
      <c r="V713" s="29"/>
      <c r="W713" s="32"/>
      <c r="X713" s="32"/>
      <c r="Y713" s="31"/>
    </row>
    <row r="714" ht="22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28"/>
      <c r="U714" s="28"/>
      <c r="V714" s="29"/>
      <c r="W714" s="32"/>
      <c r="X714" s="32"/>
      <c r="Y714" s="31"/>
    </row>
    <row r="715" ht="22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28"/>
      <c r="U715" s="28"/>
      <c r="V715" s="29"/>
      <c r="W715" s="32"/>
      <c r="X715" s="32"/>
      <c r="Y715" s="31"/>
    </row>
    <row r="716" ht="22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28"/>
      <c r="U716" s="28"/>
      <c r="V716" s="29"/>
      <c r="W716" s="32"/>
      <c r="X716" s="32"/>
      <c r="Y716" s="31"/>
    </row>
    <row r="717" ht="22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28"/>
      <c r="U717" s="28"/>
      <c r="V717" s="29"/>
      <c r="W717" s="32"/>
      <c r="X717" s="32"/>
      <c r="Y717" s="31"/>
    </row>
    <row r="718" ht="22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28"/>
      <c r="U718" s="28"/>
      <c r="V718" s="29"/>
      <c r="W718" s="32"/>
      <c r="X718" s="32"/>
      <c r="Y718" s="31"/>
    </row>
    <row r="719" ht="22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28"/>
      <c r="U719" s="28"/>
      <c r="V719" s="29"/>
      <c r="W719" s="32"/>
      <c r="X719" s="32"/>
      <c r="Y719" s="31"/>
    </row>
    <row r="720" ht="22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28"/>
      <c r="U720" s="28"/>
      <c r="V720" s="29"/>
      <c r="W720" s="32"/>
      <c r="X720" s="32"/>
      <c r="Y720" s="31"/>
    </row>
    <row r="721" ht="22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28"/>
      <c r="U721" s="28"/>
      <c r="V721" s="29"/>
      <c r="W721" s="32"/>
      <c r="X721" s="32"/>
      <c r="Y721" s="31"/>
    </row>
    <row r="722" ht="22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28"/>
      <c r="U722" s="28"/>
      <c r="V722" s="29"/>
      <c r="W722" s="32"/>
      <c r="X722" s="32"/>
      <c r="Y722" s="31"/>
    </row>
    <row r="723" ht="22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28"/>
      <c r="U723" s="28"/>
      <c r="V723" s="29"/>
      <c r="W723" s="32"/>
      <c r="X723" s="32"/>
      <c r="Y723" s="31"/>
    </row>
    <row r="724" ht="22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28"/>
      <c r="U724" s="28"/>
      <c r="V724" s="29"/>
      <c r="W724" s="32"/>
      <c r="X724" s="32"/>
      <c r="Y724" s="31"/>
    </row>
    <row r="725" ht="22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28"/>
      <c r="U725" s="28"/>
      <c r="V725" s="29"/>
      <c r="W725" s="32"/>
      <c r="X725" s="32"/>
      <c r="Y725" s="31"/>
    </row>
    <row r="726" ht="22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28"/>
      <c r="U726" s="28"/>
      <c r="V726" s="29"/>
      <c r="W726" s="32"/>
      <c r="X726" s="32"/>
      <c r="Y726" s="31"/>
    </row>
    <row r="727" ht="22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28"/>
      <c r="U727" s="28"/>
      <c r="V727" s="29"/>
      <c r="W727" s="32"/>
      <c r="X727" s="32"/>
      <c r="Y727" s="31"/>
    </row>
    <row r="728" ht="22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28"/>
      <c r="U728" s="28"/>
      <c r="V728" s="29"/>
      <c r="W728" s="32"/>
      <c r="X728" s="32"/>
      <c r="Y728" s="31"/>
    </row>
    <row r="729" ht="22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28"/>
      <c r="U729" s="28"/>
      <c r="V729" s="29"/>
      <c r="W729" s="32"/>
      <c r="X729" s="32"/>
      <c r="Y729" s="31"/>
    </row>
    <row r="730" ht="22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28"/>
      <c r="U730" s="28"/>
      <c r="V730" s="29"/>
      <c r="W730" s="32"/>
      <c r="X730" s="32"/>
      <c r="Y730" s="31"/>
    </row>
    <row r="731" ht="22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28"/>
      <c r="U731" s="28"/>
      <c r="V731" s="29"/>
      <c r="W731" s="32"/>
      <c r="X731" s="32"/>
      <c r="Y731" s="31"/>
    </row>
    <row r="732" ht="22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28"/>
      <c r="U732" s="28"/>
      <c r="V732" s="29"/>
      <c r="W732" s="32"/>
      <c r="X732" s="32"/>
      <c r="Y732" s="31"/>
    </row>
    <row r="733" ht="22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28"/>
      <c r="U733" s="28"/>
      <c r="V733" s="29"/>
      <c r="W733" s="32"/>
      <c r="X733" s="32"/>
      <c r="Y733" s="31"/>
    </row>
    <row r="734" ht="22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28"/>
      <c r="U734" s="28"/>
      <c r="V734" s="29"/>
      <c r="W734" s="32"/>
      <c r="X734" s="32"/>
      <c r="Y734" s="31"/>
    </row>
    <row r="735" ht="22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28"/>
      <c r="U735" s="28"/>
      <c r="V735" s="29"/>
      <c r="W735" s="32"/>
      <c r="X735" s="32"/>
      <c r="Y735" s="31"/>
    </row>
    <row r="736" ht="22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28"/>
      <c r="U736" s="28"/>
      <c r="V736" s="29"/>
      <c r="W736" s="32"/>
      <c r="X736" s="32"/>
      <c r="Y736" s="31"/>
    </row>
    <row r="737" ht="22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28"/>
      <c r="U737" s="28"/>
      <c r="V737" s="29"/>
      <c r="W737" s="32"/>
      <c r="X737" s="32"/>
      <c r="Y737" s="31"/>
    </row>
    <row r="738" ht="22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28"/>
      <c r="U738" s="28"/>
      <c r="V738" s="29"/>
      <c r="W738" s="32"/>
      <c r="X738" s="32"/>
      <c r="Y738" s="31"/>
    </row>
    <row r="739" ht="22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28"/>
      <c r="U739" s="28"/>
      <c r="V739" s="29"/>
      <c r="W739" s="32"/>
      <c r="X739" s="32"/>
      <c r="Y739" s="31"/>
    </row>
    <row r="740" ht="22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28"/>
      <c r="U740" s="28"/>
      <c r="V740" s="29"/>
      <c r="W740" s="32"/>
      <c r="X740" s="32"/>
      <c r="Y740" s="31"/>
    </row>
    <row r="741" ht="22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28"/>
      <c r="U741" s="28"/>
      <c r="V741" s="29"/>
      <c r="W741" s="32"/>
      <c r="X741" s="32"/>
      <c r="Y741" s="31"/>
    </row>
    <row r="742" ht="22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28"/>
      <c r="U742" s="28"/>
      <c r="V742" s="29"/>
      <c r="W742" s="32"/>
      <c r="X742" s="32"/>
      <c r="Y742" s="31"/>
    </row>
    <row r="743" ht="22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28"/>
      <c r="U743" s="28"/>
      <c r="V743" s="29"/>
      <c r="W743" s="32"/>
      <c r="X743" s="32"/>
      <c r="Y743" s="31"/>
    </row>
    <row r="744" ht="22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28"/>
      <c r="U744" s="28"/>
      <c r="V744" s="29"/>
      <c r="W744" s="32"/>
      <c r="X744" s="32"/>
      <c r="Y744" s="31"/>
    </row>
    <row r="745" ht="22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28"/>
      <c r="U745" s="28"/>
      <c r="V745" s="29"/>
      <c r="W745" s="32"/>
      <c r="X745" s="32"/>
      <c r="Y745" s="31"/>
    </row>
    <row r="746" ht="22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28"/>
      <c r="U746" s="28"/>
      <c r="V746" s="29"/>
      <c r="W746" s="32"/>
      <c r="X746" s="32"/>
      <c r="Y746" s="31"/>
    </row>
    <row r="747" ht="22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28"/>
      <c r="U747" s="28"/>
      <c r="V747" s="29"/>
      <c r="W747" s="32"/>
      <c r="X747" s="32"/>
      <c r="Y747" s="31"/>
    </row>
    <row r="748" ht="22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28"/>
      <c r="U748" s="28"/>
      <c r="V748" s="29"/>
      <c r="W748" s="32"/>
      <c r="X748" s="32"/>
      <c r="Y748" s="31"/>
    </row>
    <row r="749" ht="22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28"/>
      <c r="U749" s="28"/>
      <c r="V749" s="29"/>
      <c r="W749" s="32"/>
      <c r="X749" s="32"/>
      <c r="Y749" s="31"/>
    </row>
    <row r="750" ht="22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28"/>
      <c r="U750" s="28"/>
      <c r="V750" s="29"/>
      <c r="W750" s="32"/>
      <c r="X750" s="32"/>
      <c r="Y750" s="31"/>
    </row>
    <row r="751" ht="22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28"/>
      <c r="U751" s="28"/>
      <c r="V751" s="29"/>
      <c r="W751" s="32"/>
      <c r="X751" s="32"/>
      <c r="Y751" s="31"/>
    </row>
    <row r="752" ht="22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28"/>
      <c r="U752" s="28"/>
      <c r="V752" s="29"/>
      <c r="W752" s="32"/>
      <c r="X752" s="32"/>
      <c r="Y752" s="31"/>
    </row>
    <row r="753" ht="22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28"/>
      <c r="U753" s="28"/>
      <c r="V753" s="29"/>
      <c r="W753" s="32"/>
      <c r="X753" s="32"/>
      <c r="Y753" s="31"/>
    </row>
    <row r="754" ht="22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28"/>
      <c r="U754" s="28"/>
      <c r="V754" s="29"/>
      <c r="W754" s="32"/>
      <c r="X754" s="32"/>
      <c r="Y754" s="31"/>
    </row>
    <row r="755" ht="22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28"/>
      <c r="U755" s="28"/>
      <c r="V755" s="29"/>
      <c r="W755" s="32"/>
      <c r="X755" s="32"/>
      <c r="Y755" s="31"/>
    </row>
    <row r="756" ht="22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28"/>
      <c r="U756" s="28"/>
      <c r="V756" s="29"/>
      <c r="W756" s="32"/>
      <c r="X756" s="32"/>
      <c r="Y756" s="31"/>
    </row>
    <row r="757" ht="22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28"/>
      <c r="U757" s="28"/>
      <c r="V757" s="29"/>
      <c r="W757" s="32"/>
      <c r="X757" s="32"/>
      <c r="Y757" s="31"/>
    </row>
    <row r="758" ht="22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28"/>
      <c r="U758" s="28"/>
      <c r="V758" s="29"/>
      <c r="W758" s="32"/>
      <c r="X758" s="32"/>
      <c r="Y758" s="31"/>
    </row>
    <row r="759" ht="22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28"/>
      <c r="U759" s="28"/>
      <c r="V759" s="29"/>
      <c r="W759" s="32"/>
      <c r="X759" s="32"/>
      <c r="Y759" s="31"/>
    </row>
    <row r="760" ht="22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28"/>
      <c r="U760" s="28"/>
      <c r="V760" s="29"/>
      <c r="W760" s="32"/>
      <c r="X760" s="32"/>
      <c r="Y760" s="31"/>
    </row>
    <row r="761" ht="22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28"/>
      <c r="U761" s="28"/>
      <c r="V761" s="29"/>
      <c r="W761" s="32"/>
      <c r="X761" s="32"/>
      <c r="Y761" s="31"/>
    </row>
    <row r="762" ht="22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28"/>
      <c r="U762" s="28"/>
      <c r="V762" s="29"/>
      <c r="W762" s="32"/>
      <c r="X762" s="32"/>
      <c r="Y762" s="31"/>
    </row>
    <row r="763" ht="22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28"/>
      <c r="U763" s="28"/>
      <c r="V763" s="29"/>
      <c r="W763" s="32"/>
      <c r="X763" s="32"/>
      <c r="Y763" s="31"/>
    </row>
    <row r="764" ht="22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28"/>
      <c r="U764" s="28"/>
      <c r="V764" s="29"/>
      <c r="W764" s="32"/>
      <c r="X764" s="32"/>
      <c r="Y764" s="31"/>
    </row>
    <row r="765" ht="22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28"/>
      <c r="U765" s="28"/>
      <c r="V765" s="29"/>
      <c r="W765" s="32"/>
      <c r="X765" s="32"/>
      <c r="Y765" s="31"/>
    </row>
    <row r="766" ht="22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28"/>
      <c r="U766" s="28"/>
      <c r="V766" s="29"/>
      <c r="W766" s="32"/>
      <c r="X766" s="32"/>
      <c r="Y766" s="31"/>
    </row>
    <row r="767" ht="22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28"/>
      <c r="U767" s="28"/>
      <c r="V767" s="29"/>
      <c r="W767" s="32"/>
      <c r="X767" s="32"/>
      <c r="Y767" s="31"/>
    </row>
    <row r="768" ht="22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28"/>
      <c r="U768" s="28"/>
      <c r="V768" s="29"/>
      <c r="W768" s="32"/>
      <c r="X768" s="32"/>
      <c r="Y768" s="31"/>
    </row>
    <row r="769" ht="22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28"/>
      <c r="U769" s="28"/>
      <c r="V769" s="29"/>
      <c r="W769" s="32"/>
      <c r="X769" s="32"/>
      <c r="Y769" s="31"/>
    </row>
    <row r="770" ht="22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28"/>
      <c r="U770" s="28"/>
      <c r="V770" s="29"/>
      <c r="W770" s="32"/>
      <c r="X770" s="32"/>
      <c r="Y770" s="31"/>
    </row>
    <row r="771" ht="22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28"/>
      <c r="U771" s="28"/>
      <c r="V771" s="29"/>
      <c r="W771" s="32"/>
      <c r="X771" s="32"/>
      <c r="Y771" s="31"/>
    </row>
    <row r="772" ht="22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28"/>
      <c r="U772" s="28"/>
      <c r="V772" s="29"/>
      <c r="W772" s="32"/>
      <c r="X772" s="32"/>
      <c r="Y772" s="31"/>
    </row>
    <row r="773" ht="22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28"/>
      <c r="U773" s="28"/>
      <c r="V773" s="29"/>
      <c r="W773" s="32"/>
      <c r="X773" s="32"/>
      <c r="Y773" s="31"/>
    </row>
    <row r="774" ht="22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28"/>
      <c r="U774" s="28"/>
      <c r="V774" s="29"/>
      <c r="W774" s="32"/>
      <c r="X774" s="32"/>
      <c r="Y774" s="31"/>
    </row>
    <row r="775" ht="22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28"/>
      <c r="U775" s="28"/>
      <c r="V775" s="29"/>
      <c r="W775" s="32"/>
      <c r="X775" s="32"/>
      <c r="Y775" s="31"/>
    </row>
    <row r="776" ht="22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28"/>
      <c r="U776" s="28"/>
      <c r="V776" s="29"/>
      <c r="W776" s="32"/>
      <c r="X776" s="32"/>
      <c r="Y776" s="31"/>
    </row>
    <row r="777" ht="22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28"/>
      <c r="U777" s="28"/>
      <c r="V777" s="29"/>
      <c r="W777" s="32"/>
      <c r="X777" s="32"/>
      <c r="Y777" s="31"/>
    </row>
    <row r="778" ht="22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28"/>
      <c r="U778" s="28"/>
      <c r="V778" s="29"/>
      <c r="W778" s="32"/>
      <c r="X778" s="32"/>
      <c r="Y778" s="31"/>
    </row>
    <row r="779" ht="22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28"/>
      <c r="U779" s="28"/>
      <c r="V779" s="29"/>
      <c r="W779" s="32"/>
      <c r="X779" s="32"/>
      <c r="Y779" s="31"/>
    </row>
    <row r="780" ht="22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28"/>
      <c r="U780" s="28"/>
      <c r="V780" s="29"/>
      <c r="W780" s="32"/>
      <c r="X780" s="32"/>
      <c r="Y780" s="31"/>
    </row>
    <row r="781" ht="22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28"/>
      <c r="U781" s="28"/>
      <c r="V781" s="29"/>
      <c r="W781" s="32"/>
      <c r="X781" s="32"/>
      <c r="Y781" s="31"/>
    </row>
    <row r="782" ht="22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28"/>
      <c r="U782" s="28"/>
      <c r="V782" s="29"/>
      <c r="W782" s="32"/>
      <c r="X782" s="32"/>
      <c r="Y782" s="31"/>
    </row>
    <row r="783" ht="22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28"/>
      <c r="U783" s="28"/>
      <c r="V783" s="29"/>
      <c r="W783" s="32"/>
      <c r="X783" s="32"/>
      <c r="Y783" s="31"/>
    </row>
    <row r="784" ht="22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28"/>
      <c r="U784" s="28"/>
      <c r="V784" s="29"/>
      <c r="W784" s="32"/>
      <c r="X784" s="32"/>
      <c r="Y784" s="31"/>
    </row>
    <row r="785" ht="22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28"/>
      <c r="U785" s="28"/>
      <c r="V785" s="29"/>
      <c r="W785" s="32"/>
      <c r="X785" s="32"/>
      <c r="Y785" s="31"/>
    </row>
    <row r="786" ht="22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28"/>
      <c r="U786" s="28"/>
      <c r="V786" s="29"/>
      <c r="W786" s="32"/>
      <c r="X786" s="32"/>
      <c r="Y786" s="31"/>
    </row>
    <row r="787" ht="22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28"/>
      <c r="U787" s="28"/>
      <c r="V787" s="29"/>
      <c r="W787" s="32"/>
      <c r="X787" s="32"/>
      <c r="Y787" s="31"/>
    </row>
    <row r="788" ht="22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28"/>
      <c r="U788" s="28"/>
      <c r="V788" s="29"/>
      <c r="W788" s="32"/>
      <c r="X788" s="32"/>
      <c r="Y788" s="31"/>
    </row>
    <row r="789" ht="22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28"/>
      <c r="U789" s="28"/>
      <c r="V789" s="29"/>
      <c r="W789" s="32"/>
      <c r="X789" s="32"/>
      <c r="Y789" s="31"/>
    </row>
    <row r="790" ht="22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28"/>
      <c r="U790" s="28"/>
      <c r="V790" s="29"/>
      <c r="W790" s="32"/>
      <c r="X790" s="32"/>
      <c r="Y790" s="31"/>
    </row>
    <row r="791" ht="22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28"/>
      <c r="U791" s="28"/>
      <c r="V791" s="29"/>
      <c r="W791" s="32"/>
      <c r="X791" s="32"/>
      <c r="Y791" s="31"/>
    </row>
    <row r="792" ht="22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28"/>
      <c r="U792" s="28"/>
      <c r="V792" s="29"/>
      <c r="W792" s="32"/>
      <c r="X792" s="32"/>
      <c r="Y792" s="31"/>
    </row>
    <row r="793" ht="22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28"/>
      <c r="U793" s="28"/>
      <c r="V793" s="29"/>
      <c r="W793" s="32"/>
      <c r="X793" s="32"/>
      <c r="Y793" s="31"/>
    </row>
    <row r="794" ht="22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28"/>
      <c r="U794" s="28"/>
      <c r="V794" s="29"/>
      <c r="W794" s="32"/>
      <c r="X794" s="32"/>
      <c r="Y794" s="31"/>
    </row>
    <row r="795" ht="22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28"/>
      <c r="U795" s="28"/>
      <c r="V795" s="29"/>
      <c r="W795" s="32"/>
      <c r="X795" s="32"/>
      <c r="Y795" s="31"/>
    </row>
    <row r="796" ht="22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28"/>
      <c r="U796" s="28"/>
      <c r="V796" s="29"/>
      <c r="W796" s="32"/>
      <c r="X796" s="32"/>
      <c r="Y796" s="31"/>
    </row>
    <row r="797" ht="22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28"/>
      <c r="U797" s="28"/>
      <c r="V797" s="29"/>
      <c r="W797" s="32"/>
      <c r="X797" s="32"/>
      <c r="Y797" s="31"/>
    </row>
    <row r="798" ht="22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28"/>
      <c r="U798" s="28"/>
      <c r="V798" s="29"/>
      <c r="W798" s="32"/>
      <c r="X798" s="32"/>
      <c r="Y798" s="31"/>
    </row>
    <row r="799" ht="22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28"/>
      <c r="U799" s="28"/>
      <c r="V799" s="29"/>
      <c r="W799" s="32"/>
      <c r="X799" s="32"/>
      <c r="Y799" s="31"/>
    </row>
    <row r="800" ht="22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28"/>
      <c r="U800" s="28"/>
      <c r="V800" s="29"/>
      <c r="W800" s="32"/>
      <c r="X800" s="32"/>
      <c r="Y800" s="31"/>
    </row>
    <row r="801" ht="22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28"/>
      <c r="U801" s="28"/>
      <c r="V801" s="29"/>
      <c r="W801" s="32"/>
      <c r="X801" s="32"/>
      <c r="Y801" s="31"/>
    </row>
    <row r="802" ht="22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28"/>
      <c r="U802" s="28"/>
      <c r="V802" s="29"/>
      <c r="W802" s="32"/>
      <c r="X802" s="32"/>
      <c r="Y802" s="31"/>
    </row>
    <row r="803" ht="22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28"/>
      <c r="U803" s="28"/>
      <c r="V803" s="29"/>
      <c r="W803" s="32"/>
      <c r="X803" s="32"/>
      <c r="Y803" s="31"/>
    </row>
    <row r="804" ht="22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28"/>
      <c r="U804" s="28"/>
      <c r="V804" s="29"/>
      <c r="W804" s="32"/>
      <c r="X804" s="32"/>
      <c r="Y804" s="31"/>
    </row>
    <row r="805" ht="22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28"/>
      <c r="U805" s="28"/>
      <c r="V805" s="29"/>
      <c r="W805" s="32"/>
      <c r="X805" s="32"/>
      <c r="Y805" s="31"/>
    </row>
    <row r="806" ht="22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28"/>
      <c r="U806" s="28"/>
      <c r="V806" s="29"/>
      <c r="W806" s="32"/>
      <c r="X806" s="32"/>
      <c r="Y806" s="31"/>
    </row>
    <row r="807" ht="22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28"/>
      <c r="U807" s="28"/>
      <c r="V807" s="29"/>
      <c r="W807" s="32"/>
      <c r="X807" s="32"/>
      <c r="Y807" s="31"/>
    </row>
    <row r="808" ht="22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28"/>
      <c r="U808" s="28"/>
      <c r="V808" s="29"/>
      <c r="W808" s="32"/>
      <c r="X808" s="32"/>
      <c r="Y808" s="31"/>
    </row>
    <row r="809" ht="22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28"/>
      <c r="U809" s="28"/>
      <c r="V809" s="29"/>
      <c r="W809" s="32"/>
      <c r="X809" s="32"/>
      <c r="Y809" s="31"/>
    </row>
    <row r="810" ht="22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28"/>
      <c r="U810" s="28"/>
      <c r="V810" s="29"/>
      <c r="W810" s="32"/>
      <c r="X810" s="32"/>
      <c r="Y810" s="31"/>
    </row>
    <row r="811" ht="22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28"/>
      <c r="U811" s="28"/>
      <c r="V811" s="29"/>
      <c r="W811" s="32"/>
      <c r="X811" s="32"/>
      <c r="Y811" s="31"/>
    </row>
    <row r="812" ht="22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28"/>
      <c r="U812" s="28"/>
      <c r="V812" s="29"/>
      <c r="W812" s="32"/>
      <c r="X812" s="32"/>
      <c r="Y812" s="31"/>
    </row>
    <row r="813" ht="22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28"/>
      <c r="U813" s="28"/>
      <c r="V813" s="29"/>
      <c r="W813" s="32"/>
      <c r="X813" s="32"/>
      <c r="Y813" s="31"/>
    </row>
    <row r="814" ht="22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28"/>
      <c r="U814" s="28"/>
      <c r="V814" s="29"/>
      <c r="W814" s="32"/>
      <c r="X814" s="32"/>
      <c r="Y814" s="31"/>
    </row>
    <row r="815" ht="22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28"/>
      <c r="U815" s="28"/>
      <c r="V815" s="29"/>
      <c r="W815" s="32"/>
      <c r="X815" s="32"/>
      <c r="Y815" s="31"/>
    </row>
    <row r="816" ht="22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28"/>
      <c r="U816" s="28"/>
      <c r="V816" s="29"/>
      <c r="W816" s="32"/>
      <c r="X816" s="32"/>
      <c r="Y816" s="31"/>
    </row>
    <row r="817" ht="22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28"/>
      <c r="U817" s="28"/>
      <c r="V817" s="29"/>
      <c r="W817" s="32"/>
      <c r="X817" s="32"/>
      <c r="Y817" s="31"/>
    </row>
    <row r="818" ht="22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28"/>
      <c r="U818" s="28"/>
      <c r="V818" s="29"/>
      <c r="W818" s="32"/>
      <c r="X818" s="32"/>
      <c r="Y818" s="31"/>
    </row>
    <row r="819" ht="22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28"/>
      <c r="U819" s="28"/>
      <c r="V819" s="29"/>
      <c r="W819" s="32"/>
      <c r="X819" s="32"/>
      <c r="Y819" s="31"/>
    </row>
    <row r="820" ht="22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28"/>
      <c r="U820" s="28"/>
      <c r="V820" s="29"/>
      <c r="W820" s="32"/>
      <c r="X820" s="32"/>
      <c r="Y820" s="31"/>
    </row>
    <row r="821" ht="22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28"/>
      <c r="U821" s="28"/>
      <c r="V821" s="29"/>
      <c r="W821" s="32"/>
      <c r="X821" s="32"/>
      <c r="Y821" s="31"/>
    </row>
    <row r="822" ht="22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28"/>
      <c r="U822" s="28"/>
      <c r="V822" s="29"/>
      <c r="W822" s="32"/>
      <c r="X822" s="32"/>
      <c r="Y822" s="31"/>
    </row>
    <row r="823" ht="22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28"/>
      <c r="U823" s="28"/>
      <c r="V823" s="29"/>
      <c r="W823" s="32"/>
      <c r="X823" s="32"/>
      <c r="Y823" s="31"/>
    </row>
    <row r="824" ht="22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28"/>
      <c r="U824" s="28"/>
      <c r="V824" s="29"/>
      <c r="W824" s="32"/>
      <c r="X824" s="32"/>
      <c r="Y824" s="31"/>
    </row>
    <row r="825" ht="22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28"/>
      <c r="U825" s="28"/>
      <c r="V825" s="29"/>
      <c r="W825" s="32"/>
      <c r="X825" s="32"/>
      <c r="Y825" s="31"/>
    </row>
    <row r="826" ht="22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28"/>
      <c r="U826" s="28"/>
      <c r="V826" s="29"/>
      <c r="W826" s="32"/>
      <c r="X826" s="32"/>
      <c r="Y826" s="31"/>
    </row>
    <row r="827" ht="22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28"/>
      <c r="U827" s="28"/>
      <c r="V827" s="29"/>
      <c r="W827" s="32"/>
      <c r="X827" s="32"/>
      <c r="Y827" s="31"/>
    </row>
    <row r="828" ht="22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28"/>
      <c r="U828" s="28"/>
      <c r="V828" s="29"/>
      <c r="W828" s="32"/>
      <c r="X828" s="32"/>
      <c r="Y828" s="31"/>
    </row>
    <row r="829" ht="22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28"/>
      <c r="U829" s="28"/>
      <c r="V829" s="29"/>
      <c r="W829" s="32"/>
      <c r="X829" s="32"/>
      <c r="Y829" s="31"/>
    </row>
    <row r="830" ht="22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28"/>
      <c r="U830" s="28"/>
      <c r="V830" s="29"/>
      <c r="W830" s="32"/>
      <c r="X830" s="32"/>
      <c r="Y830" s="31"/>
    </row>
    <row r="831" ht="22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28"/>
      <c r="U831" s="28"/>
      <c r="V831" s="29"/>
      <c r="W831" s="32"/>
      <c r="X831" s="32"/>
      <c r="Y831" s="31"/>
    </row>
    <row r="832" ht="22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28"/>
      <c r="U832" s="28"/>
      <c r="V832" s="29"/>
      <c r="W832" s="32"/>
      <c r="X832" s="32"/>
      <c r="Y832" s="31"/>
    </row>
    <row r="833" ht="22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28"/>
      <c r="U833" s="28"/>
      <c r="V833" s="29"/>
      <c r="W833" s="32"/>
      <c r="X833" s="32"/>
      <c r="Y833" s="31"/>
    </row>
    <row r="834" ht="22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28"/>
      <c r="U834" s="28"/>
      <c r="V834" s="29"/>
      <c r="W834" s="32"/>
      <c r="X834" s="32"/>
      <c r="Y834" s="31"/>
    </row>
    <row r="835" ht="22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28"/>
      <c r="U835" s="28"/>
      <c r="V835" s="29"/>
      <c r="W835" s="32"/>
      <c r="X835" s="32"/>
      <c r="Y835" s="31"/>
    </row>
    <row r="836" ht="22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28"/>
      <c r="U836" s="28"/>
      <c r="V836" s="29"/>
      <c r="W836" s="32"/>
      <c r="X836" s="32"/>
      <c r="Y836" s="31"/>
    </row>
    <row r="837" ht="22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28"/>
      <c r="U837" s="28"/>
      <c r="V837" s="29"/>
      <c r="W837" s="32"/>
      <c r="X837" s="32"/>
      <c r="Y837" s="31"/>
    </row>
    <row r="838" ht="22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28"/>
      <c r="U838" s="28"/>
      <c r="V838" s="29"/>
      <c r="W838" s="32"/>
      <c r="X838" s="32"/>
      <c r="Y838" s="31"/>
    </row>
    <row r="839" ht="22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28"/>
      <c r="U839" s="28"/>
      <c r="V839" s="29"/>
      <c r="W839" s="32"/>
      <c r="X839" s="32"/>
      <c r="Y839" s="31"/>
    </row>
    <row r="840" ht="22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28"/>
      <c r="U840" s="28"/>
      <c r="V840" s="29"/>
      <c r="W840" s="32"/>
      <c r="X840" s="32"/>
      <c r="Y840" s="31"/>
    </row>
    <row r="841" ht="22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28"/>
      <c r="U841" s="28"/>
      <c r="V841" s="29"/>
      <c r="W841" s="32"/>
      <c r="X841" s="32"/>
      <c r="Y841" s="31"/>
    </row>
    <row r="842" ht="22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28"/>
      <c r="U842" s="28"/>
      <c r="V842" s="29"/>
      <c r="W842" s="32"/>
      <c r="X842" s="32"/>
      <c r="Y842" s="31"/>
    </row>
    <row r="843" ht="22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28"/>
      <c r="U843" s="28"/>
      <c r="V843" s="29"/>
      <c r="W843" s="32"/>
      <c r="X843" s="32"/>
      <c r="Y843" s="31"/>
    </row>
    <row r="844" ht="22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28"/>
      <c r="U844" s="28"/>
      <c r="V844" s="29"/>
      <c r="W844" s="32"/>
      <c r="X844" s="32"/>
      <c r="Y844" s="31"/>
    </row>
    <row r="845" ht="22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28"/>
      <c r="U845" s="28"/>
      <c r="V845" s="29"/>
      <c r="W845" s="32"/>
      <c r="X845" s="32"/>
      <c r="Y845" s="31"/>
    </row>
    <row r="846" ht="22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28"/>
      <c r="U846" s="28"/>
      <c r="V846" s="29"/>
      <c r="W846" s="32"/>
      <c r="X846" s="32"/>
      <c r="Y846" s="31"/>
    </row>
    <row r="847" ht="22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28"/>
      <c r="U847" s="28"/>
      <c r="V847" s="29"/>
      <c r="W847" s="32"/>
      <c r="X847" s="32"/>
      <c r="Y847" s="31"/>
    </row>
    <row r="848" ht="22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28"/>
      <c r="U848" s="28"/>
      <c r="V848" s="29"/>
      <c r="W848" s="32"/>
      <c r="X848" s="32"/>
      <c r="Y848" s="31"/>
    </row>
    <row r="849" ht="22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28"/>
      <c r="U849" s="28"/>
      <c r="V849" s="29"/>
      <c r="W849" s="32"/>
      <c r="X849" s="32"/>
      <c r="Y849" s="31"/>
    </row>
    <row r="850" ht="22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28"/>
      <c r="U850" s="28"/>
      <c r="V850" s="29"/>
      <c r="W850" s="32"/>
      <c r="X850" s="32"/>
      <c r="Y850" s="31"/>
    </row>
    <row r="851" ht="22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28"/>
      <c r="U851" s="28"/>
      <c r="V851" s="29"/>
      <c r="W851" s="32"/>
      <c r="X851" s="32"/>
      <c r="Y851" s="31"/>
    </row>
    <row r="852" ht="22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28"/>
      <c r="U852" s="28"/>
      <c r="V852" s="29"/>
      <c r="W852" s="32"/>
      <c r="X852" s="32"/>
      <c r="Y852" s="31"/>
    </row>
    <row r="853" ht="22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28"/>
      <c r="U853" s="28"/>
      <c r="V853" s="29"/>
      <c r="W853" s="32"/>
      <c r="X853" s="32"/>
      <c r="Y853" s="31"/>
    </row>
    <row r="854" ht="22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28"/>
      <c r="U854" s="28"/>
      <c r="V854" s="29"/>
      <c r="W854" s="32"/>
      <c r="X854" s="32"/>
      <c r="Y854" s="31"/>
    </row>
    <row r="855" ht="22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28"/>
      <c r="U855" s="28"/>
      <c r="V855" s="29"/>
      <c r="W855" s="32"/>
      <c r="X855" s="32"/>
      <c r="Y855" s="31"/>
    </row>
    <row r="856" ht="22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28"/>
      <c r="U856" s="28"/>
      <c r="V856" s="29"/>
      <c r="W856" s="32"/>
      <c r="X856" s="32"/>
      <c r="Y856" s="31"/>
    </row>
    <row r="857" ht="22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28"/>
      <c r="U857" s="28"/>
      <c r="V857" s="29"/>
      <c r="W857" s="32"/>
      <c r="X857" s="32"/>
      <c r="Y857" s="31"/>
    </row>
    <row r="858" ht="22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28"/>
      <c r="U858" s="28"/>
      <c r="V858" s="29"/>
      <c r="W858" s="32"/>
      <c r="X858" s="32"/>
      <c r="Y858" s="31"/>
    </row>
    <row r="859" ht="22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28"/>
      <c r="U859" s="28"/>
      <c r="V859" s="29"/>
      <c r="W859" s="32"/>
      <c r="X859" s="32"/>
      <c r="Y859" s="31"/>
    </row>
    <row r="860" ht="22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28"/>
      <c r="U860" s="28"/>
      <c r="V860" s="29"/>
      <c r="W860" s="32"/>
      <c r="X860" s="32"/>
      <c r="Y860" s="31"/>
    </row>
    <row r="861" ht="22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28"/>
      <c r="U861" s="28"/>
      <c r="V861" s="29"/>
      <c r="W861" s="32"/>
      <c r="X861" s="32"/>
      <c r="Y861" s="31"/>
    </row>
    <row r="862" ht="22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28"/>
      <c r="U862" s="28"/>
      <c r="V862" s="29"/>
      <c r="W862" s="32"/>
      <c r="X862" s="32"/>
      <c r="Y862" s="31"/>
    </row>
    <row r="863" ht="22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28"/>
      <c r="U863" s="28"/>
      <c r="V863" s="29"/>
      <c r="W863" s="32"/>
      <c r="X863" s="32"/>
      <c r="Y863" s="31"/>
    </row>
    <row r="864" ht="22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28"/>
      <c r="U864" s="28"/>
      <c r="V864" s="29"/>
      <c r="W864" s="32"/>
      <c r="X864" s="32"/>
      <c r="Y864" s="31"/>
    </row>
    <row r="865" ht="22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28"/>
      <c r="U865" s="28"/>
      <c r="V865" s="29"/>
      <c r="W865" s="32"/>
      <c r="X865" s="32"/>
      <c r="Y865" s="31"/>
    </row>
    <row r="866" ht="22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28"/>
      <c r="U866" s="28"/>
      <c r="V866" s="29"/>
      <c r="W866" s="32"/>
      <c r="X866" s="32"/>
      <c r="Y866" s="31"/>
    </row>
    <row r="867" ht="22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28"/>
      <c r="U867" s="28"/>
      <c r="V867" s="29"/>
      <c r="W867" s="32"/>
      <c r="X867" s="32"/>
      <c r="Y867" s="31"/>
    </row>
    <row r="868" ht="22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28"/>
      <c r="U868" s="28"/>
      <c r="V868" s="29"/>
      <c r="W868" s="32"/>
      <c r="X868" s="32"/>
      <c r="Y868" s="31"/>
    </row>
    <row r="869" ht="22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28"/>
      <c r="U869" s="28"/>
      <c r="V869" s="29"/>
      <c r="W869" s="32"/>
      <c r="X869" s="32"/>
      <c r="Y869" s="31"/>
    </row>
    <row r="870" ht="22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28"/>
      <c r="U870" s="28"/>
      <c r="V870" s="29"/>
      <c r="W870" s="32"/>
      <c r="X870" s="32"/>
      <c r="Y870" s="31"/>
    </row>
    <row r="871" ht="22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28"/>
      <c r="U871" s="28"/>
      <c r="V871" s="29"/>
      <c r="W871" s="32"/>
      <c r="X871" s="32"/>
      <c r="Y871" s="31"/>
    </row>
    <row r="872" ht="22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28"/>
      <c r="U872" s="28"/>
      <c r="V872" s="29"/>
      <c r="W872" s="32"/>
      <c r="X872" s="32"/>
      <c r="Y872" s="31"/>
    </row>
    <row r="873" ht="22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28"/>
      <c r="U873" s="28"/>
      <c r="V873" s="29"/>
      <c r="W873" s="32"/>
      <c r="X873" s="32"/>
      <c r="Y873" s="31"/>
    </row>
    <row r="874" ht="22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28"/>
      <c r="U874" s="28"/>
      <c r="V874" s="29"/>
      <c r="W874" s="32"/>
      <c r="X874" s="32"/>
      <c r="Y874" s="31"/>
    </row>
    <row r="875" ht="22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28"/>
      <c r="U875" s="28"/>
      <c r="V875" s="29"/>
      <c r="W875" s="32"/>
      <c r="X875" s="32"/>
      <c r="Y875" s="31"/>
    </row>
    <row r="876" ht="22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28"/>
      <c r="U876" s="28"/>
      <c r="V876" s="29"/>
      <c r="W876" s="32"/>
      <c r="X876" s="32"/>
      <c r="Y876" s="31"/>
    </row>
    <row r="877" ht="22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28"/>
      <c r="U877" s="28"/>
      <c r="V877" s="29"/>
      <c r="W877" s="32"/>
      <c r="X877" s="32"/>
      <c r="Y877" s="31"/>
    </row>
    <row r="878" ht="22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28"/>
      <c r="U878" s="28"/>
      <c r="V878" s="29"/>
      <c r="W878" s="32"/>
      <c r="X878" s="32"/>
      <c r="Y878" s="31"/>
    </row>
    <row r="879" ht="22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28"/>
      <c r="U879" s="28"/>
      <c r="V879" s="29"/>
      <c r="W879" s="32"/>
      <c r="X879" s="32"/>
      <c r="Y879" s="31"/>
    </row>
    <row r="880" ht="22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28"/>
      <c r="U880" s="28"/>
      <c r="V880" s="29"/>
      <c r="W880" s="32"/>
      <c r="X880" s="32"/>
      <c r="Y880" s="31"/>
    </row>
    <row r="881" ht="22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28"/>
      <c r="U881" s="28"/>
      <c r="V881" s="29"/>
      <c r="W881" s="32"/>
      <c r="X881" s="32"/>
      <c r="Y881" s="31"/>
    </row>
    <row r="882" ht="22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28"/>
      <c r="U882" s="28"/>
      <c r="V882" s="29"/>
      <c r="W882" s="32"/>
      <c r="X882" s="32"/>
      <c r="Y882" s="31"/>
    </row>
    <row r="883" ht="22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28"/>
      <c r="U883" s="28"/>
      <c r="V883" s="29"/>
      <c r="W883" s="32"/>
      <c r="X883" s="32"/>
      <c r="Y883" s="31"/>
    </row>
    <row r="884" ht="22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28"/>
      <c r="U884" s="28"/>
      <c r="V884" s="29"/>
      <c r="W884" s="32"/>
      <c r="X884" s="32"/>
      <c r="Y884" s="31"/>
    </row>
    <row r="885" ht="22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28"/>
      <c r="U885" s="28"/>
      <c r="V885" s="29"/>
      <c r="W885" s="32"/>
      <c r="X885" s="32"/>
      <c r="Y885" s="31"/>
    </row>
    <row r="886" ht="22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28"/>
      <c r="U886" s="28"/>
      <c r="V886" s="29"/>
      <c r="W886" s="32"/>
      <c r="X886" s="32"/>
      <c r="Y886" s="31"/>
    </row>
    <row r="887" ht="22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28"/>
      <c r="U887" s="28"/>
      <c r="V887" s="29"/>
      <c r="W887" s="32"/>
      <c r="X887" s="32"/>
      <c r="Y887" s="31"/>
    </row>
    <row r="888" ht="22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28"/>
      <c r="U888" s="28"/>
      <c r="V888" s="29"/>
      <c r="W888" s="32"/>
      <c r="X888" s="32"/>
      <c r="Y888" s="31"/>
    </row>
    <row r="889" ht="22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28"/>
      <c r="U889" s="28"/>
      <c r="V889" s="29"/>
      <c r="W889" s="32"/>
      <c r="X889" s="32"/>
      <c r="Y889" s="31"/>
    </row>
    <row r="890" ht="22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28"/>
      <c r="U890" s="28"/>
      <c r="V890" s="29"/>
      <c r="W890" s="32"/>
      <c r="X890" s="32"/>
      <c r="Y890" s="31"/>
    </row>
    <row r="891" ht="22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28"/>
      <c r="U891" s="28"/>
      <c r="V891" s="29"/>
      <c r="W891" s="32"/>
      <c r="X891" s="32"/>
      <c r="Y891" s="31"/>
    </row>
    <row r="892" ht="22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28"/>
      <c r="U892" s="28"/>
      <c r="V892" s="29"/>
      <c r="W892" s="32"/>
      <c r="X892" s="32"/>
      <c r="Y892" s="31"/>
    </row>
    <row r="893" ht="22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28"/>
      <c r="U893" s="28"/>
      <c r="V893" s="29"/>
      <c r="W893" s="32"/>
      <c r="X893" s="32"/>
      <c r="Y893" s="31"/>
    </row>
    <row r="894" ht="22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28"/>
      <c r="U894" s="28"/>
      <c r="V894" s="29"/>
      <c r="W894" s="32"/>
      <c r="X894" s="32"/>
      <c r="Y894" s="31"/>
    </row>
    <row r="895" ht="22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28"/>
      <c r="U895" s="28"/>
      <c r="V895" s="29"/>
      <c r="W895" s="32"/>
      <c r="X895" s="32"/>
      <c r="Y895" s="31"/>
    </row>
    <row r="896" ht="22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28"/>
      <c r="U896" s="28"/>
      <c r="V896" s="29"/>
      <c r="W896" s="32"/>
      <c r="X896" s="32"/>
      <c r="Y896" s="31"/>
    </row>
    <row r="897" ht="22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28"/>
      <c r="U897" s="28"/>
      <c r="V897" s="29"/>
      <c r="W897" s="32"/>
      <c r="X897" s="32"/>
      <c r="Y897" s="31"/>
    </row>
    <row r="898" ht="22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28"/>
      <c r="U898" s="28"/>
      <c r="V898" s="29"/>
      <c r="W898" s="32"/>
      <c r="X898" s="32"/>
      <c r="Y898" s="31"/>
    </row>
    <row r="899" ht="22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28"/>
      <c r="U899" s="28"/>
      <c r="V899" s="29"/>
      <c r="W899" s="32"/>
      <c r="X899" s="32"/>
      <c r="Y899" s="31"/>
    </row>
    <row r="900" ht="22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28"/>
      <c r="U900" s="28"/>
      <c r="V900" s="29"/>
      <c r="W900" s="32"/>
      <c r="X900" s="32"/>
      <c r="Y900" s="31"/>
    </row>
    <row r="901" ht="22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28"/>
      <c r="U901" s="28"/>
      <c r="V901" s="29"/>
      <c r="W901" s="32"/>
      <c r="X901" s="32"/>
      <c r="Y901" s="31"/>
    </row>
    <row r="902" ht="22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28"/>
      <c r="U902" s="28"/>
      <c r="V902" s="29"/>
      <c r="W902" s="32"/>
      <c r="X902" s="32"/>
      <c r="Y902" s="31"/>
    </row>
    <row r="903" ht="22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28"/>
      <c r="U903" s="28"/>
      <c r="V903" s="29"/>
      <c r="W903" s="32"/>
      <c r="X903" s="32"/>
      <c r="Y903" s="31"/>
    </row>
    <row r="904" ht="22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28"/>
      <c r="U904" s="28"/>
      <c r="V904" s="29"/>
      <c r="W904" s="32"/>
      <c r="X904" s="32"/>
      <c r="Y904" s="31"/>
    </row>
    <row r="905" ht="22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28"/>
      <c r="U905" s="28"/>
      <c r="V905" s="29"/>
      <c r="W905" s="32"/>
      <c r="X905" s="32"/>
      <c r="Y905" s="31"/>
    </row>
    <row r="906" ht="22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28"/>
      <c r="U906" s="28"/>
      <c r="V906" s="29"/>
      <c r="W906" s="32"/>
      <c r="X906" s="32"/>
      <c r="Y906" s="31"/>
    </row>
    <row r="907" ht="22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28"/>
      <c r="U907" s="28"/>
      <c r="V907" s="29"/>
      <c r="W907" s="32"/>
      <c r="X907" s="32"/>
      <c r="Y907" s="31"/>
    </row>
    <row r="908" ht="22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28"/>
      <c r="U908" s="28"/>
      <c r="V908" s="29"/>
      <c r="W908" s="32"/>
      <c r="X908" s="32"/>
      <c r="Y908" s="31"/>
    </row>
    <row r="909" ht="22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28"/>
      <c r="U909" s="28"/>
      <c r="V909" s="29"/>
      <c r="W909" s="32"/>
      <c r="X909" s="32"/>
      <c r="Y909" s="31"/>
    </row>
    <row r="910" ht="22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28"/>
      <c r="U910" s="28"/>
      <c r="V910" s="29"/>
      <c r="W910" s="32"/>
      <c r="X910" s="32"/>
      <c r="Y910" s="31"/>
    </row>
    <row r="911" ht="22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28"/>
      <c r="U911" s="28"/>
      <c r="V911" s="29"/>
      <c r="W911" s="32"/>
      <c r="X911" s="32"/>
      <c r="Y911" s="31"/>
    </row>
    <row r="912" ht="22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28"/>
      <c r="U912" s="28"/>
      <c r="V912" s="29"/>
      <c r="W912" s="32"/>
      <c r="X912" s="32"/>
      <c r="Y912" s="31"/>
    </row>
    <row r="913" ht="22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28"/>
      <c r="U913" s="28"/>
      <c r="V913" s="29"/>
      <c r="W913" s="32"/>
      <c r="X913" s="32"/>
      <c r="Y913" s="31"/>
    </row>
    <row r="914" ht="22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28"/>
      <c r="U914" s="28"/>
      <c r="V914" s="29"/>
      <c r="W914" s="32"/>
      <c r="X914" s="32"/>
      <c r="Y914" s="31"/>
    </row>
    <row r="915" ht="22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28"/>
      <c r="U915" s="28"/>
      <c r="V915" s="29"/>
      <c r="W915" s="32"/>
      <c r="X915" s="32"/>
      <c r="Y915" s="31"/>
    </row>
    <row r="916" ht="22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28"/>
      <c r="U916" s="28"/>
      <c r="V916" s="29"/>
      <c r="W916" s="32"/>
      <c r="X916" s="32"/>
      <c r="Y916" s="31"/>
    </row>
    <row r="917" ht="22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28"/>
      <c r="U917" s="28"/>
      <c r="V917" s="29"/>
      <c r="W917" s="32"/>
      <c r="X917" s="32"/>
      <c r="Y917" s="31"/>
    </row>
    <row r="918" ht="22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28"/>
      <c r="U918" s="28"/>
      <c r="V918" s="29"/>
      <c r="W918" s="32"/>
      <c r="X918" s="32"/>
      <c r="Y918" s="31"/>
    </row>
    <row r="919" ht="22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28"/>
      <c r="U919" s="28"/>
      <c r="V919" s="29"/>
      <c r="W919" s="32"/>
      <c r="X919" s="32"/>
      <c r="Y919" s="31"/>
    </row>
    <row r="920" ht="22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28"/>
      <c r="U920" s="28"/>
      <c r="V920" s="29"/>
      <c r="W920" s="32"/>
      <c r="X920" s="32"/>
      <c r="Y920" s="31"/>
    </row>
    <row r="921" ht="22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28"/>
      <c r="U921" s="28"/>
      <c r="V921" s="29"/>
      <c r="W921" s="32"/>
      <c r="X921" s="32"/>
      <c r="Y921" s="31"/>
    </row>
    <row r="922" ht="22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28"/>
      <c r="U922" s="28"/>
      <c r="V922" s="29"/>
      <c r="W922" s="32"/>
      <c r="X922" s="32"/>
      <c r="Y922" s="31"/>
    </row>
    <row r="923" ht="22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28"/>
      <c r="U923" s="28"/>
      <c r="V923" s="29"/>
      <c r="W923" s="32"/>
      <c r="X923" s="32"/>
      <c r="Y923" s="31"/>
    </row>
    <row r="924" ht="22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28"/>
      <c r="U924" s="28"/>
      <c r="V924" s="29"/>
      <c r="W924" s="32"/>
      <c r="X924" s="32"/>
      <c r="Y924" s="31"/>
    </row>
    <row r="925" ht="22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28"/>
      <c r="U925" s="28"/>
      <c r="V925" s="29"/>
      <c r="W925" s="32"/>
      <c r="X925" s="32"/>
      <c r="Y925" s="31"/>
    </row>
    <row r="926" ht="22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28"/>
      <c r="U926" s="28"/>
      <c r="V926" s="29"/>
      <c r="W926" s="32"/>
      <c r="X926" s="32"/>
      <c r="Y926" s="31"/>
    </row>
    <row r="927" ht="22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28"/>
      <c r="U927" s="28"/>
      <c r="V927" s="29"/>
      <c r="W927" s="32"/>
      <c r="X927" s="32"/>
      <c r="Y927" s="31"/>
    </row>
    <row r="928" ht="22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28"/>
      <c r="U928" s="28"/>
      <c r="V928" s="29"/>
      <c r="W928" s="32"/>
      <c r="X928" s="32"/>
      <c r="Y928" s="31"/>
    </row>
    <row r="929" ht="22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28"/>
      <c r="U929" s="28"/>
      <c r="V929" s="29"/>
      <c r="W929" s="32"/>
      <c r="X929" s="32"/>
      <c r="Y929" s="31"/>
    </row>
    <row r="930" ht="22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28"/>
      <c r="U930" s="28"/>
      <c r="V930" s="29"/>
      <c r="W930" s="32"/>
      <c r="X930" s="32"/>
      <c r="Y930" s="31"/>
    </row>
    <row r="931" ht="22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28"/>
      <c r="U931" s="28"/>
      <c r="V931" s="29"/>
      <c r="W931" s="32"/>
      <c r="X931" s="32"/>
      <c r="Y931" s="31"/>
    </row>
    <row r="932" ht="22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28"/>
      <c r="U932" s="28"/>
      <c r="V932" s="29"/>
      <c r="W932" s="32"/>
      <c r="X932" s="32"/>
      <c r="Y932" s="31"/>
    </row>
    <row r="933" ht="22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28"/>
      <c r="U933" s="28"/>
      <c r="V933" s="29"/>
      <c r="W933" s="32"/>
      <c r="X933" s="32"/>
      <c r="Y933" s="31"/>
    </row>
    <row r="934" ht="22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28"/>
      <c r="U934" s="28"/>
      <c r="V934" s="29"/>
      <c r="W934" s="32"/>
      <c r="X934" s="32"/>
      <c r="Y934" s="31"/>
    </row>
    <row r="935" ht="22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28"/>
      <c r="U935" s="28"/>
      <c r="V935" s="29"/>
      <c r="W935" s="32"/>
      <c r="X935" s="32"/>
      <c r="Y935" s="31"/>
    </row>
    <row r="936" ht="22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28"/>
      <c r="U936" s="28"/>
      <c r="V936" s="29"/>
      <c r="W936" s="32"/>
      <c r="X936" s="32"/>
      <c r="Y936" s="31"/>
    </row>
    <row r="937" ht="22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28"/>
      <c r="U937" s="28"/>
      <c r="V937" s="29"/>
      <c r="W937" s="32"/>
      <c r="X937" s="32"/>
      <c r="Y937" s="31"/>
    </row>
    <row r="938" ht="22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28"/>
      <c r="U938" s="28"/>
      <c r="V938" s="29"/>
      <c r="W938" s="32"/>
      <c r="X938" s="32"/>
      <c r="Y938" s="31"/>
    </row>
    <row r="939" ht="22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28"/>
      <c r="U939" s="28"/>
      <c r="V939" s="29"/>
      <c r="W939" s="32"/>
      <c r="X939" s="32"/>
      <c r="Y939" s="31"/>
    </row>
    <row r="940" ht="22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28"/>
      <c r="U940" s="28"/>
      <c r="V940" s="29"/>
      <c r="W940" s="32"/>
      <c r="X940" s="32"/>
      <c r="Y940" s="31"/>
    </row>
    <row r="941" ht="22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28"/>
      <c r="U941" s="28"/>
      <c r="V941" s="29"/>
      <c r="W941" s="32"/>
      <c r="X941" s="32"/>
      <c r="Y941" s="31"/>
    </row>
    <row r="942" ht="22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28"/>
      <c r="U942" s="28"/>
      <c r="V942" s="29"/>
      <c r="W942" s="32"/>
      <c r="X942" s="32"/>
      <c r="Y942" s="31"/>
    </row>
    <row r="943" ht="22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28"/>
      <c r="U943" s="28"/>
      <c r="V943" s="29"/>
      <c r="W943" s="32"/>
      <c r="X943" s="32"/>
      <c r="Y943" s="31"/>
    </row>
    <row r="944" ht="22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28"/>
      <c r="U944" s="28"/>
      <c r="V944" s="29"/>
      <c r="W944" s="32"/>
      <c r="X944" s="32"/>
      <c r="Y944" s="31"/>
    </row>
    <row r="945" ht="22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28"/>
      <c r="U945" s="28"/>
      <c r="V945" s="29"/>
      <c r="W945" s="32"/>
      <c r="X945" s="32"/>
      <c r="Y945" s="31"/>
    </row>
    <row r="946" ht="22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28"/>
      <c r="U946" s="28"/>
      <c r="V946" s="29"/>
      <c r="W946" s="32"/>
      <c r="X946" s="32"/>
      <c r="Y946" s="31"/>
    </row>
    <row r="947" ht="22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28"/>
      <c r="U947" s="28"/>
      <c r="V947" s="29"/>
      <c r="W947" s="32"/>
      <c r="X947" s="32"/>
      <c r="Y947" s="31"/>
    </row>
    <row r="948" ht="22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28"/>
      <c r="U948" s="28"/>
      <c r="V948" s="29"/>
      <c r="W948" s="32"/>
      <c r="X948" s="32"/>
      <c r="Y948" s="31"/>
    </row>
    <row r="949" ht="22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28"/>
      <c r="U949" s="28"/>
      <c r="V949" s="29"/>
      <c r="W949" s="32"/>
      <c r="X949" s="32"/>
      <c r="Y949" s="31"/>
    </row>
    <row r="950" ht="22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28"/>
      <c r="U950" s="28"/>
      <c r="V950" s="29"/>
      <c r="W950" s="32"/>
      <c r="X950" s="32"/>
      <c r="Y950" s="31"/>
    </row>
    <row r="951" ht="22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28"/>
      <c r="U951" s="28"/>
      <c r="V951" s="29"/>
      <c r="W951" s="32"/>
      <c r="X951" s="32"/>
      <c r="Y951" s="31"/>
    </row>
    <row r="952" ht="22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28"/>
      <c r="U952" s="28"/>
      <c r="V952" s="29"/>
      <c r="W952" s="32"/>
      <c r="X952" s="32"/>
      <c r="Y952" s="31"/>
    </row>
    <row r="953" ht="22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28"/>
      <c r="U953" s="28"/>
      <c r="V953" s="29"/>
      <c r="W953" s="32"/>
      <c r="X953" s="32"/>
      <c r="Y953" s="31"/>
    </row>
    <row r="954" ht="22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28"/>
      <c r="U954" s="28"/>
      <c r="V954" s="29"/>
      <c r="W954" s="32"/>
      <c r="X954" s="32"/>
      <c r="Y954" s="31"/>
    </row>
    <row r="955" ht="22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28"/>
      <c r="U955" s="28"/>
      <c r="V955" s="29"/>
      <c r="W955" s="32"/>
      <c r="X955" s="32"/>
      <c r="Y955" s="31"/>
    </row>
    <row r="956" ht="22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28"/>
      <c r="U956" s="28"/>
      <c r="V956" s="29"/>
      <c r="W956" s="32"/>
      <c r="X956" s="32"/>
      <c r="Y956" s="31"/>
    </row>
    <row r="957" ht="22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28"/>
      <c r="U957" s="28"/>
      <c r="V957" s="29"/>
      <c r="W957" s="32"/>
      <c r="X957" s="32"/>
      <c r="Y957" s="31"/>
    </row>
    <row r="958" ht="22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28"/>
      <c r="U958" s="28"/>
      <c r="V958" s="29"/>
      <c r="W958" s="32"/>
      <c r="X958" s="32"/>
      <c r="Y958" s="31"/>
    </row>
    <row r="959" ht="22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28"/>
      <c r="U959" s="28"/>
      <c r="V959" s="29"/>
      <c r="W959" s="32"/>
      <c r="X959" s="32"/>
      <c r="Y959" s="31"/>
    </row>
    <row r="960" ht="22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28"/>
      <c r="U960" s="28"/>
      <c r="V960" s="29"/>
      <c r="W960" s="32"/>
      <c r="X960" s="32"/>
      <c r="Y960" s="31"/>
    </row>
    <row r="961" ht="22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28"/>
      <c r="U961" s="28"/>
      <c r="V961" s="29"/>
      <c r="W961" s="32"/>
      <c r="X961" s="32"/>
      <c r="Y961" s="31"/>
    </row>
    <row r="962" ht="22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28"/>
      <c r="U962" s="28"/>
      <c r="V962" s="29"/>
      <c r="W962" s="32"/>
      <c r="X962" s="32"/>
      <c r="Y962" s="31"/>
    </row>
    <row r="963" ht="22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28"/>
      <c r="U963" s="28"/>
      <c r="V963" s="29"/>
      <c r="W963" s="32"/>
      <c r="X963" s="32"/>
      <c r="Y963" s="31"/>
    </row>
    <row r="964" ht="22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28"/>
      <c r="U964" s="28"/>
      <c r="V964" s="29"/>
      <c r="W964" s="32"/>
      <c r="X964" s="32"/>
      <c r="Y964" s="31"/>
    </row>
    <row r="965" ht="22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28"/>
      <c r="U965" s="28"/>
      <c r="V965" s="29"/>
      <c r="W965" s="32"/>
      <c r="X965" s="32"/>
      <c r="Y965" s="31"/>
    </row>
    <row r="966" ht="22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28"/>
      <c r="U966" s="28"/>
      <c r="V966" s="29"/>
      <c r="W966" s="32"/>
      <c r="X966" s="32"/>
      <c r="Y966" s="31"/>
    </row>
    <row r="967" ht="22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28"/>
      <c r="U967" s="28"/>
      <c r="V967" s="29"/>
      <c r="W967" s="32"/>
      <c r="X967" s="32"/>
      <c r="Y967" s="31"/>
    </row>
    <row r="968" ht="22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28"/>
      <c r="U968" s="28"/>
      <c r="V968" s="29"/>
      <c r="W968" s="32"/>
      <c r="X968" s="32"/>
      <c r="Y968" s="31"/>
    </row>
    <row r="969" ht="22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28"/>
      <c r="U969" s="28"/>
      <c r="V969" s="29"/>
      <c r="W969" s="32"/>
      <c r="X969" s="32"/>
      <c r="Y969" s="31"/>
    </row>
    <row r="970" ht="22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28"/>
      <c r="U970" s="28"/>
      <c r="V970" s="29"/>
      <c r="W970" s="32"/>
      <c r="X970" s="32"/>
      <c r="Y970" s="31"/>
    </row>
    <row r="971" ht="22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28"/>
      <c r="U971" s="28"/>
      <c r="V971" s="29"/>
      <c r="W971" s="32"/>
      <c r="X971" s="32"/>
      <c r="Y971" s="31"/>
    </row>
    <row r="972" ht="22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28"/>
      <c r="U972" s="28"/>
      <c r="V972" s="29"/>
      <c r="W972" s="32"/>
      <c r="X972" s="32"/>
      <c r="Y972" s="31"/>
    </row>
    <row r="973" ht="22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28"/>
      <c r="U973" s="28"/>
      <c r="V973" s="29"/>
      <c r="W973" s="32"/>
      <c r="X973" s="32"/>
      <c r="Y973" s="31"/>
    </row>
    <row r="974" ht="22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28"/>
      <c r="U974" s="28"/>
      <c r="V974" s="29"/>
      <c r="W974" s="32"/>
      <c r="X974" s="32"/>
      <c r="Y974" s="31"/>
    </row>
    <row r="975" ht="22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28"/>
      <c r="U975" s="28"/>
      <c r="V975" s="29"/>
      <c r="W975" s="32"/>
      <c r="X975" s="32"/>
      <c r="Y975" s="31"/>
    </row>
    <row r="976" ht="22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28"/>
      <c r="U976" s="28"/>
      <c r="V976" s="29"/>
      <c r="W976" s="32"/>
      <c r="X976" s="32"/>
      <c r="Y976" s="31"/>
    </row>
    <row r="977" ht="22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28"/>
      <c r="U977" s="28"/>
      <c r="V977" s="29"/>
      <c r="W977" s="32"/>
      <c r="X977" s="32"/>
      <c r="Y977" s="31"/>
    </row>
    <row r="978" ht="22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28"/>
      <c r="U978" s="28"/>
      <c r="V978" s="29"/>
      <c r="W978" s="32"/>
      <c r="X978" s="32"/>
      <c r="Y978" s="31"/>
    </row>
    <row r="979" ht="22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28"/>
      <c r="U979" s="28"/>
      <c r="V979" s="29"/>
      <c r="W979" s="32"/>
      <c r="X979" s="32"/>
      <c r="Y979" s="31"/>
    </row>
    <row r="980" ht="22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28"/>
      <c r="U980" s="28"/>
      <c r="V980" s="29"/>
      <c r="W980" s="32"/>
      <c r="X980" s="32"/>
      <c r="Y980" s="31"/>
    </row>
    <row r="981" ht="22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28"/>
      <c r="U981" s="28"/>
      <c r="V981" s="29"/>
      <c r="W981" s="32"/>
      <c r="X981" s="32"/>
      <c r="Y981" s="31"/>
    </row>
    <row r="982" ht="22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28"/>
      <c r="U982" s="28"/>
      <c r="V982" s="29"/>
      <c r="W982" s="32"/>
      <c r="X982" s="32"/>
      <c r="Y982" s="31"/>
    </row>
    <row r="983" ht="22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28"/>
      <c r="U983" s="28"/>
      <c r="V983" s="29"/>
      <c r="W983" s="32"/>
      <c r="X983" s="32"/>
      <c r="Y983" s="31"/>
    </row>
    <row r="984" ht="22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28"/>
      <c r="U984" s="28"/>
      <c r="V984" s="29"/>
      <c r="W984" s="32"/>
      <c r="X984" s="32"/>
      <c r="Y984" s="31"/>
    </row>
    <row r="985" ht="22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28"/>
      <c r="U985" s="28"/>
      <c r="V985" s="29"/>
      <c r="W985" s="32"/>
      <c r="X985" s="32"/>
      <c r="Y985" s="31"/>
    </row>
    <row r="986" ht="22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28"/>
      <c r="U986" s="28"/>
      <c r="V986" s="29"/>
      <c r="W986" s="32"/>
      <c r="X986" s="32"/>
      <c r="Y986" s="31"/>
    </row>
    <row r="987" ht="22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28"/>
      <c r="U987" s="28"/>
      <c r="V987" s="29"/>
      <c r="W987" s="32"/>
      <c r="X987" s="32"/>
      <c r="Y987" s="31"/>
    </row>
    <row r="988" ht="22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28"/>
      <c r="U988" s="28"/>
      <c r="V988" s="29"/>
      <c r="W988" s="32"/>
      <c r="X988" s="32"/>
      <c r="Y988" s="31"/>
    </row>
    <row r="989" ht="22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28"/>
      <c r="U989" s="28"/>
      <c r="V989" s="29"/>
      <c r="W989" s="32"/>
      <c r="X989" s="32"/>
      <c r="Y989" s="31"/>
    </row>
    <row r="990" ht="22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28"/>
      <c r="U990" s="28"/>
      <c r="V990" s="29"/>
      <c r="W990" s="32"/>
      <c r="X990" s="32"/>
      <c r="Y990" s="31"/>
    </row>
    <row r="991" ht="22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28"/>
      <c r="U991" s="28"/>
      <c r="V991" s="29"/>
      <c r="W991" s="32"/>
      <c r="X991" s="32"/>
      <c r="Y991" s="31"/>
    </row>
    <row r="992" ht="22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28"/>
      <c r="U992" s="28"/>
      <c r="V992" s="29"/>
      <c r="W992" s="32"/>
      <c r="X992" s="32"/>
      <c r="Y992" s="31"/>
    </row>
    <row r="993" ht="22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28"/>
      <c r="U993" s="28"/>
      <c r="V993" s="29"/>
      <c r="W993" s="32"/>
      <c r="X993" s="32"/>
      <c r="Y993" s="31"/>
    </row>
    <row r="994" ht="22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28"/>
      <c r="U994" s="28"/>
      <c r="V994" s="29"/>
      <c r="W994" s="32"/>
      <c r="X994" s="32"/>
      <c r="Y994" s="31"/>
    </row>
    <row r="995" ht="22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28"/>
      <c r="U995" s="28"/>
      <c r="V995" s="29"/>
      <c r="W995" s="32"/>
      <c r="X995" s="32"/>
      <c r="Y995" s="31"/>
    </row>
    <row r="996" ht="22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28"/>
      <c r="U996" s="28"/>
      <c r="V996" s="29"/>
      <c r="W996" s="32"/>
      <c r="X996" s="32"/>
      <c r="Y996" s="31"/>
    </row>
    <row r="997" ht="22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28"/>
      <c r="U997" s="28"/>
      <c r="V997" s="29"/>
      <c r="W997" s="32"/>
      <c r="X997" s="32"/>
      <c r="Y997" s="31"/>
    </row>
    <row r="998" ht="22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28"/>
      <c r="U998" s="28"/>
      <c r="V998" s="29"/>
      <c r="W998" s="32"/>
      <c r="X998" s="32"/>
      <c r="Y998" s="31"/>
    </row>
    <row r="999" ht="22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28"/>
      <c r="U999" s="28"/>
      <c r="V999" s="29"/>
      <c r="W999" s="32"/>
      <c r="X999" s="32"/>
      <c r="Y999" s="31"/>
    </row>
    <row r="1000" ht="22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28"/>
      <c r="U1000" s="28"/>
      <c r="V1000" s="29"/>
      <c r="W1000" s="32"/>
      <c r="X1000" s="32"/>
      <c r="Y1000" s="31"/>
    </row>
  </sheetData>
  <conditionalFormatting sqref="W2:W1000">
    <cfRule type="cellIs" dxfId="10" priority="1" operator="lessThanOrEqual">
      <formula>2</formula>
    </cfRule>
  </conditionalFormatting>
  <conditionalFormatting sqref="W2:W1000">
    <cfRule type="cellIs" dxfId="11" priority="2" operator="between">
      <formula>3</formula>
      <formula>5</formula>
    </cfRule>
  </conditionalFormatting>
  <conditionalFormatting sqref="W2:W1000">
    <cfRule type="cellIs" dxfId="12" priority="3" operator="greaterThanOrEqual">
      <formula>6</formula>
    </cfRule>
  </conditionalFormatting>
  <conditionalFormatting sqref="X2:X1000">
    <cfRule type="cellIs" dxfId="13" priority="4" operator="lessThanOrEqual">
      <formula>3</formula>
    </cfRule>
  </conditionalFormatting>
  <conditionalFormatting sqref="X2:X1000">
    <cfRule type="cellIs" dxfId="11" priority="5" operator="between">
      <formula>4</formula>
      <formula>5</formula>
    </cfRule>
  </conditionalFormatting>
  <conditionalFormatting sqref="X2:X1000">
    <cfRule type="cellIs" dxfId="10" priority="6" operator="greaterThan">
      <formula>5</formula>
    </cfRule>
  </conditionalFormatting>
  <dataValidations>
    <dataValidation type="custom" allowBlank="1" showDropDown="1" sqref="T2:V1000">
      <formula1>OR(NOT(ISERROR(DATEVALUE(T2))), AND(ISNUMBER(T2), LEFT(CELL("format", T2))="D"))</formula1>
    </dataValidation>
    <dataValidation type="custom" allowBlank="1" showDropDown="1" sqref="W2:X1000">
      <formula1>AND(ISNUMBER(W2),(NOT(OR(NOT(ISERROR(DATEVALUE(W2))), AND(ISNUMBER(W2), LEFT(CELL("format", W2))="D")))))</formula1>
    </dataValidation>
  </dataValidations>
  <drawing r:id="rId1"/>
  <tableParts count="1">
    <tablePart r:id="rId3"/>
  </tableParts>
</worksheet>
</file>